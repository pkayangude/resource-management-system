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bmishal_in_ibm_com/Documents/IPPF/IPPF -2026/06 Jun/"/>
    </mc:Choice>
  </mc:AlternateContent>
  <xr:revisionPtr revIDLastSave="1255" documentId="13_ncr:1_{9470DF5B-C357-4962-9EE7-E5E210EDFDBE}" xr6:coauthVersionLast="47" xr6:coauthVersionMax="47" xr10:uidLastSave="{5F05B2D3-A90D-4D5E-BC76-9C2BA9AC07C6}"/>
  <bookViews>
    <workbookView xWindow="-108" yWindow="-108" windowWidth="23256" windowHeight="12456" xr2:uid="{00000000-000D-0000-FFFF-FFFF00000000}"/>
  </bookViews>
  <sheets>
    <sheet name="Forecast Summary" sheetId="31" r:id="rId1"/>
    <sheet name="Forecast details 2026" sheetId="22" r:id="rId2"/>
    <sheet name="Holidays" sheetId="7" state="hidden" r:id="rId3"/>
  </sheets>
  <definedNames>
    <definedName name="_xlnm._FilterDatabase" localSheetId="1" hidden="1">'Forecast details 2026'!$A$1:$AM$394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65" i="22" l="1"/>
  <c r="S347" i="22"/>
  <c r="S337" i="22"/>
  <c r="S310" i="22"/>
  <c r="S316" i="22"/>
  <c r="S385" i="22"/>
  <c r="H65" i="7"/>
  <c r="H64" i="7"/>
  <c r="H63" i="7"/>
  <c r="H62" i="7"/>
  <c r="H61" i="7"/>
  <c r="P6" i="7"/>
  <c r="P5" i="7"/>
  <c r="P4" i="7"/>
  <c r="AA4" i="22"/>
  <c r="AB4" i="22"/>
  <c r="AC4" i="22"/>
  <c r="AD4" i="22"/>
  <c r="AE4" i="22"/>
  <c r="AF4" i="22"/>
  <c r="AG4" i="22"/>
  <c r="AH4" i="22"/>
  <c r="AI4" i="22"/>
  <c r="AJ4" i="22"/>
  <c r="AK4" i="22"/>
  <c r="AL4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L241" i="22"/>
  <c r="AK241" i="22"/>
  <c r="AJ241" i="22"/>
  <c r="AI241" i="22"/>
  <c r="AH241" i="22"/>
  <c r="AG241" i="22"/>
  <c r="AF241" i="22"/>
  <c r="AE241" i="22"/>
  <c r="AD241" i="22"/>
  <c r="AC241" i="22"/>
  <c r="AB241" i="22"/>
  <c r="AA241" i="22"/>
  <c r="AL384" i="22"/>
  <c r="AK384" i="22"/>
  <c r="AJ384" i="22"/>
  <c r="AI384" i="22"/>
  <c r="AH384" i="22"/>
  <c r="AG384" i="22"/>
  <c r="AE384" i="22"/>
  <c r="AD384" i="22"/>
  <c r="AC384" i="22"/>
  <c r="AB384" i="22"/>
  <c r="AA384" i="22"/>
  <c r="AF384" i="22"/>
  <c r="S281" i="22"/>
  <c r="AF281" i="22" s="1"/>
  <c r="AA282" i="22"/>
  <c r="AB282" i="22"/>
  <c r="AC282" i="22"/>
  <c r="AD282" i="22"/>
  <c r="AE282" i="22"/>
  <c r="AF282" i="22"/>
  <c r="AG282" i="22"/>
  <c r="AH282" i="22"/>
  <c r="AI282" i="22"/>
  <c r="AJ282" i="22"/>
  <c r="AK282" i="22"/>
  <c r="AL282" i="22"/>
  <c r="AA281" i="22"/>
  <c r="AB281" i="22"/>
  <c r="AC281" i="22"/>
  <c r="AD281" i="22"/>
  <c r="AE281" i="22"/>
  <c r="AG281" i="22"/>
  <c r="AH281" i="22"/>
  <c r="AI281" i="22"/>
  <c r="AJ281" i="22"/>
  <c r="AK281" i="22"/>
  <c r="AL281" i="22"/>
  <c r="S381" i="22"/>
  <c r="AF381" i="22" s="1"/>
  <c r="S383" i="22"/>
  <c r="S382" i="22"/>
  <c r="AF382" i="22" s="1"/>
  <c r="AL383" i="22"/>
  <c r="AK383" i="22"/>
  <c r="AJ383" i="22"/>
  <c r="AI383" i="22"/>
  <c r="AH383" i="22"/>
  <c r="AG383" i="22"/>
  <c r="AF383" i="22"/>
  <c r="AE383" i="22"/>
  <c r="AD383" i="22"/>
  <c r="AC383" i="22"/>
  <c r="AB383" i="22"/>
  <c r="AA383" i="22"/>
  <c r="AL382" i="22"/>
  <c r="AK382" i="22"/>
  <c r="AJ382" i="22"/>
  <c r="AI382" i="22"/>
  <c r="AH382" i="22"/>
  <c r="AG382" i="22"/>
  <c r="AE382" i="22"/>
  <c r="AD382" i="22"/>
  <c r="AC382" i="22"/>
  <c r="AB382" i="22"/>
  <c r="AA382" i="22"/>
  <c r="AL381" i="22"/>
  <c r="AK381" i="22"/>
  <c r="AJ381" i="22"/>
  <c r="AI381" i="22"/>
  <c r="AH381" i="22"/>
  <c r="AG381" i="22"/>
  <c r="AE381" i="22"/>
  <c r="AD381" i="22"/>
  <c r="AC381" i="22"/>
  <c r="AB381" i="22"/>
  <c r="AA381" i="22"/>
  <c r="S130" i="22"/>
  <c r="S133" i="22"/>
  <c r="S134" i="22"/>
  <c r="S128" i="22"/>
  <c r="R127" i="22"/>
  <c r="AE127" i="22" s="1"/>
  <c r="AL127" i="22"/>
  <c r="AK127" i="22"/>
  <c r="AJ127" i="22"/>
  <c r="AI127" i="22"/>
  <c r="AH127" i="22"/>
  <c r="AG127" i="22"/>
  <c r="AF127" i="22"/>
  <c r="AD127" i="22"/>
  <c r="AC127" i="22"/>
  <c r="AB127" i="22"/>
  <c r="AA127" i="22"/>
  <c r="S380" i="22"/>
  <c r="R367" i="22"/>
  <c r="R204" i="22"/>
  <c r="AE204" i="22" s="1"/>
  <c r="AD204" i="22"/>
  <c r="AL204" i="22"/>
  <c r="AK204" i="22"/>
  <c r="AJ204" i="22"/>
  <c r="AI204" i="22"/>
  <c r="AH204" i="22"/>
  <c r="AG204" i="22"/>
  <c r="AC204" i="22"/>
  <c r="AB204" i="22"/>
  <c r="AA204" i="22"/>
  <c r="AF204" i="22"/>
  <c r="S203" i="22"/>
  <c r="S311" i="22"/>
  <c r="S362" i="22"/>
  <c r="AF362" i="22" s="1"/>
  <c r="S361" i="22"/>
  <c r="AL362" i="22"/>
  <c r="AK362" i="22"/>
  <c r="AJ362" i="22"/>
  <c r="AI362" i="22"/>
  <c r="AH362" i="22"/>
  <c r="AG362" i="22"/>
  <c r="AE362" i="22"/>
  <c r="AD362" i="22"/>
  <c r="AC362" i="22"/>
  <c r="AB362" i="22"/>
  <c r="AA362" i="22"/>
  <c r="S323" i="22"/>
  <c r="AF323" i="22" s="1"/>
  <c r="AL323" i="22"/>
  <c r="AK323" i="22"/>
  <c r="AJ323" i="22"/>
  <c r="AI323" i="22"/>
  <c r="AH323" i="22"/>
  <c r="AG323" i="22"/>
  <c r="AE323" i="22"/>
  <c r="AD323" i="22"/>
  <c r="AC323" i="22"/>
  <c r="AB323" i="22"/>
  <c r="AA323" i="22"/>
  <c r="AL150" i="22" l="1"/>
  <c r="AK150" i="22"/>
  <c r="AJ150" i="22"/>
  <c r="AI150" i="22"/>
  <c r="AH150" i="22"/>
  <c r="AG150" i="22"/>
  <c r="AF150" i="22"/>
  <c r="AE150" i="22"/>
  <c r="AD150" i="22"/>
  <c r="AC150" i="22"/>
  <c r="AB150" i="22"/>
  <c r="AA150" i="22"/>
  <c r="AL248" i="22"/>
  <c r="AK248" i="22"/>
  <c r="AJ248" i="22"/>
  <c r="AI248" i="22"/>
  <c r="AH248" i="22"/>
  <c r="AG248" i="22"/>
  <c r="AF248" i="22"/>
  <c r="AE248" i="22"/>
  <c r="AD248" i="22"/>
  <c r="AC248" i="22"/>
  <c r="AB248" i="22"/>
  <c r="AA248" i="22"/>
  <c r="AL239" i="22"/>
  <c r="AK239" i="22"/>
  <c r="AJ239" i="22"/>
  <c r="AI239" i="22"/>
  <c r="AH239" i="22"/>
  <c r="AG239" i="22"/>
  <c r="AF239" i="22"/>
  <c r="AE239" i="22"/>
  <c r="AD239" i="22"/>
  <c r="AC239" i="22"/>
  <c r="AB239" i="22"/>
  <c r="AA239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AA259" i="22" l="1"/>
  <c r="AB259" i="22"/>
  <c r="AC259" i="22"/>
  <c r="AD259" i="22"/>
  <c r="AE259" i="22"/>
  <c r="AF259" i="22"/>
  <c r="AG259" i="22"/>
  <c r="AH259" i="22"/>
  <c r="AI259" i="22"/>
  <c r="AJ259" i="22"/>
  <c r="AK259" i="22"/>
  <c r="AL259" i="22"/>
  <c r="AA246" i="22"/>
  <c r="AB246" i="22"/>
  <c r="AC246" i="22"/>
  <c r="AD246" i="22"/>
  <c r="AE246" i="22"/>
  <c r="AF246" i="22"/>
  <c r="AG246" i="22"/>
  <c r="AH246" i="22"/>
  <c r="AI246" i="22"/>
  <c r="AJ246" i="22"/>
  <c r="AK246" i="22"/>
  <c r="AL246" i="22"/>
  <c r="AA165" i="22"/>
  <c r="AB165" i="22"/>
  <c r="AC165" i="22"/>
  <c r="AD165" i="22"/>
  <c r="AE165" i="22"/>
  <c r="AF165" i="22"/>
  <c r="AG165" i="22"/>
  <c r="AH165" i="22"/>
  <c r="AI165" i="22"/>
  <c r="AJ165" i="22"/>
  <c r="AK165" i="22"/>
  <c r="AL165" i="22"/>
  <c r="AA99" i="22"/>
  <c r="AB99" i="22"/>
  <c r="AC99" i="22"/>
  <c r="AD99" i="22"/>
  <c r="AE99" i="22"/>
  <c r="AF99" i="22"/>
  <c r="AG99" i="22"/>
  <c r="AH99" i="22"/>
  <c r="AI99" i="22"/>
  <c r="AJ99" i="22"/>
  <c r="AK99" i="22"/>
  <c r="AL99" i="22"/>
  <c r="AA149" i="22"/>
  <c r="AB149" i="22"/>
  <c r="AC149" i="22"/>
  <c r="AD149" i="22"/>
  <c r="AE149" i="22"/>
  <c r="AF149" i="22"/>
  <c r="AG149" i="22"/>
  <c r="AH149" i="22"/>
  <c r="AI149" i="22"/>
  <c r="AJ149" i="22"/>
  <c r="AK149" i="22"/>
  <c r="AL149" i="22"/>
  <c r="AA75" i="22"/>
  <c r="AB75" i="22"/>
  <c r="AC75" i="22"/>
  <c r="AD75" i="22"/>
  <c r="AE75" i="22"/>
  <c r="AF75" i="22"/>
  <c r="AG75" i="22"/>
  <c r="AH75" i="22"/>
  <c r="AI75" i="22"/>
  <c r="AJ75" i="22"/>
  <c r="AK75" i="22"/>
  <c r="AL75" i="22"/>
  <c r="Y83" i="22"/>
  <c r="X83" i="22"/>
  <c r="W83" i="22"/>
  <c r="V83" i="22"/>
  <c r="U83" i="22"/>
  <c r="T83" i="22"/>
  <c r="S83" i="22"/>
  <c r="R83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R114" i="22"/>
  <c r="R390" i="22"/>
  <c r="D61" i="7"/>
  <c r="E61" i="7"/>
  <c r="F61" i="7"/>
  <c r="G61" i="7"/>
  <c r="I61" i="7"/>
  <c r="J61" i="7"/>
  <c r="K61" i="7"/>
  <c r="L61" i="7"/>
  <c r="M61" i="7"/>
  <c r="N61" i="7"/>
  <c r="D62" i="7"/>
  <c r="E62" i="7"/>
  <c r="F62" i="7"/>
  <c r="G62" i="7"/>
  <c r="I62" i="7"/>
  <c r="J62" i="7"/>
  <c r="K62" i="7"/>
  <c r="L62" i="7"/>
  <c r="M62" i="7"/>
  <c r="N62" i="7"/>
  <c r="D63" i="7"/>
  <c r="E63" i="7"/>
  <c r="F63" i="7"/>
  <c r="G63" i="7"/>
  <c r="I63" i="7"/>
  <c r="J63" i="7"/>
  <c r="K63" i="7"/>
  <c r="L63" i="7"/>
  <c r="M63" i="7"/>
  <c r="N63" i="7"/>
  <c r="D64" i="7"/>
  <c r="E64" i="7"/>
  <c r="F64" i="7"/>
  <c r="G64" i="7"/>
  <c r="I64" i="7"/>
  <c r="J64" i="7"/>
  <c r="K64" i="7"/>
  <c r="L64" i="7"/>
  <c r="M64" i="7"/>
  <c r="N64" i="7"/>
  <c r="D65" i="7"/>
  <c r="E65" i="7"/>
  <c r="F65" i="7"/>
  <c r="G65" i="7"/>
  <c r="G69" i="7" s="1"/>
  <c r="H69" i="7"/>
  <c r="I65" i="7"/>
  <c r="I69" i="7" s="1"/>
  <c r="J65" i="7"/>
  <c r="K65" i="7"/>
  <c r="L65" i="7"/>
  <c r="M65" i="7"/>
  <c r="N65" i="7"/>
  <c r="C65" i="7"/>
  <c r="C68" i="7" s="1"/>
  <c r="C64" i="7"/>
  <c r="C63" i="7"/>
  <c r="C62" i="7"/>
  <c r="C61" i="7"/>
  <c r="F69" i="7"/>
  <c r="N69" i="7"/>
  <c r="M68" i="7"/>
  <c r="L68" i="7"/>
  <c r="K68" i="7"/>
  <c r="J69" i="7"/>
  <c r="E68" i="7"/>
  <c r="D68" i="7"/>
  <c r="R320" i="22"/>
  <c r="R341" i="22"/>
  <c r="R336" i="22"/>
  <c r="R338" i="22"/>
  <c r="R359" i="22"/>
  <c r="R311" i="22"/>
  <c r="R342" i="22"/>
  <c r="AL388" i="22"/>
  <c r="AK388" i="22"/>
  <c r="AJ388" i="22"/>
  <c r="AI388" i="22"/>
  <c r="AH388" i="22"/>
  <c r="AG388" i="22"/>
  <c r="AF388" i="22"/>
  <c r="AE388" i="22"/>
  <c r="AD388" i="22"/>
  <c r="AC388" i="22"/>
  <c r="AB388" i="22"/>
  <c r="AA388" i="22"/>
  <c r="AL325" i="22"/>
  <c r="AK325" i="22"/>
  <c r="AJ325" i="22"/>
  <c r="AI325" i="22"/>
  <c r="AH325" i="22"/>
  <c r="AG325" i="22"/>
  <c r="AF325" i="22"/>
  <c r="AE325" i="22"/>
  <c r="AD325" i="22"/>
  <c r="AC325" i="22"/>
  <c r="AB325" i="22"/>
  <c r="AA325" i="22"/>
  <c r="R343" i="22"/>
  <c r="R305" i="22"/>
  <c r="R134" i="22"/>
  <c r="S140" i="22"/>
  <c r="F68" i="7" l="1"/>
  <c r="G68" i="7"/>
  <c r="I68" i="7"/>
  <c r="N68" i="7"/>
  <c r="C69" i="7"/>
  <c r="K69" i="7"/>
  <c r="H68" i="7"/>
  <c r="D69" i="7"/>
  <c r="L69" i="7"/>
  <c r="E69" i="7"/>
  <c r="M69" i="7"/>
  <c r="J68" i="7"/>
  <c r="AL391" i="22"/>
  <c r="AK391" i="22"/>
  <c r="AJ391" i="22"/>
  <c r="AI391" i="22"/>
  <c r="AH391" i="22"/>
  <c r="AG391" i="22"/>
  <c r="AF391" i="22"/>
  <c r="AE391" i="22"/>
  <c r="AD391" i="22"/>
  <c r="AC391" i="22"/>
  <c r="AB391" i="22"/>
  <c r="AA391" i="22"/>
  <c r="AL390" i="22"/>
  <c r="AK390" i="22"/>
  <c r="AJ390" i="22"/>
  <c r="AI390" i="22"/>
  <c r="AH390" i="22"/>
  <c r="AG390" i="22"/>
  <c r="AF390" i="22"/>
  <c r="AE390" i="22"/>
  <c r="AD390" i="22"/>
  <c r="AC390" i="22"/>
  <c r="AB390" i="22"/>
  <c r="AA390" i="22"/>
  <c r="AL389" i="22"/>
  <c r="AK389" i="22"/>
  <c r="AJ389" i="22"/>
  <c r="AI389" i="22"/>
  <c r="AH389" i="22"/>
  <c r="AG389" i="22"/>
  <c r="AF389" i="22"/>
  <c r="AE389" i="22"/>
  <c r="AD389" i="22"/>
  <c r="AC389" i="22"/>
  <c r="AB389" i="22"/>
  <c r="AA389" i="22"/>
  <c r="AL387" i="22"/>
  <c r="AK387" i="22"/>
  <c r="AJ387" i="22"/>
  <c r="AI387" i="22"/>
  <c r="AH387" i="22"/>
  <c r="AG387" i="22"/>
  <c r="AF387" i="22"/>
  <c r="AE387" i="22"/>
  <c r="AD387" i="22"/>
  <c r="AC387" i="22"/>
  <c r="AB387" i="22"/>
  <c r="AA387" i="22"/>
  <c r="AL386" i="22"/>
  <c r="AK386" i="22"/>
  <c r="AJ386" i="22"/>
  <c r="AI386" i="22"/>
  <c r="AH386" i="22"/>
  <c r="AG386" i="22"/>
  <c r="AF386" i="22"/>
  <c r="AE386" i="22"/>
  <c r="AD386" i="22"/>
  <c r="AC386" i="22"/>
  <c r="AB386" i="22"/>
  <c r="AA386" i="22"/>
  <c r="AL385" i="22"/>
  <c r="AK385" i="22"/>
  <c r="AJ385" i="22"/>
  <c r="AI385" i="22"/>
  <c r="AH385" i="22"/>
  <c r="AG385" i="22"/>
  <c r="AF385" i="22"/>
  <c r="AE385" i="22"/>
  <c r="AD385" i="22"/>
  <c r="AC385" i="22"/>
  <c r="AB385" i="22"/>
  <c r="AA385" i="22"/>
  <c r="AL380" i="22"/>
  <c r="AK380" i="22"/>
  <c r="AJ380" i="22"/>
  <c r="AI380" i="22"/>
  <c r="AH380" i="22"/>
  <c r="AG380" i="22"/>
  <c r="AF380" i="22"/>
  <c r="AE380" i="22"/>
  <c r="AD380" i="22"/>
  <c r="AC380" i="22"/>
  <c r="AB380" i="22"/>
  <c r="AA380" i="22"/>
  <c r="AL379" i="22"/>
  <c r="AK379" i="22"/>
  <c r="AJ379" i="22"/>
  <c r="AI379" i="22"/>
  <c r="AH379" i="22"/>
  <c r="AG379" i="22"/>
  <c r="AF379" i="22"/>
  <c r="AE379" i="22"/>
  <c r="AD379" i="22"/>
  <c r="AC379" i="22"/>
  <c r="AB379" i="22"/>
  <c r="AA379" i="22"/>
  <c r="AL378" i="22"/>
  <c r="AK378" i="22"/>
  <c r="AJ378" i="22"/>
  <c r="AI378" i="22"/>
  <c r="AH378" i="22"/>
  <c r="AG378" i="22"/>
  <c r="AF378" i="22"/>
  <c r="AE378" i="22"/>
  <c r="AD378" i="22"/>
  <c r="AC378" i="22"/>
  <c r="AA378" i="22"/>
  <c r="AL377" i="22"/>
  <c r="AK377" i="22"/>
  <c r="AJ377" i="22"/>
  <c r="AI377" i="22"/>
  <c r="AH377" i="22"/>
  <c r="AG377" i="22"/>
  <c r="AF377" i="22"/>
  <c r="AE377" i="22"/>
  <c r="AD377" i="22"/>
  <c r="AC377" i="22"/>
  <c r="AB377" i="22"/>
  <c r="AA377" i="22"/>
  <c r="AL376" i="22"/>
  <c r="AK376" i="22"/>
  <c r="AJ376" i="22"/>
  <c r="AI376" i="22"/>
  <c r="AH376" i="22"/>
  <c r="AG376" i="22"/>
  <c r="AF376" i="22"/>
  <c r="AE376" i="22"/>
  <c r="AD376" i="22"/>
  <c r="AC376" i="22"/>
  <c r="AB376" i="22"/>
  <c r="AA376" i="22"/>
  <c r="AL375" i="22"/>
  <c r="AK375" i="22"/>
  <c r="AJ375" i="22"/>
  <c r="AI375" i="22"/>
  <c r="AH375" i="22"/>
  <c r="AG375" i="22"/>
  <c r="AF375" i="22"/>
  <c r="AE375" i="22"/>
  <c r="AD375" i="22"/>
  <c r="AC375" i="22"/>
  <c r="AB375" i="22"/>
  <c r="AA375" i="22"/>
  <c r="AL374" i="22"/>
  <c r="AK374" i="22"/>
  <c r="AJ374" i="22"/>
  <c r="AI374" i="22"/>
  <c r="AH374" i="22"/>
  <c r="AG374" i="22"/>
  <c r="AF374" i="22"/>
  <c r="AE374" i="22"/>
  <c r="AD374" i="22"/>
  <c r="AC374" i="22"/>
  <c r="AB374" i="22"/>
  <c r="AA374" i="22"/>
  <c r="AL373" i="22"/>
  <c r="AK373" i="22"/>
  <c r="AJ373" i="22"/>
  <c r="AI373" i="22"/>
  <c r="AH373" i="22"/>
  <c r="AG373" i="22"/>
  <c r="AF373" i="22"/>
  <c r="AE373" i="22"/>
  <c r="AD373" i="22"/>
  <c r="AC373" i="22"/>
  <c r="AB373" i="22"/>
  <c r="AA373" i="22"/>
  <c r="AL372" i="22"/>
  <c r="AK372" i="22"/>
  <c r="AJ372" i="22"/>
  <c r="AI372" i="22"/>
  <c r="AH372" i="22"/>
  <c r="AG372" i="22"/>
  <c r="AF372" i="22"/>
  <c r="AE372" i="22"/>
  <c r="AD372" i="22"/>
  <c r="AC372" i="22"/>
  <c r="AB372" i="22"/>
  <c r="AA372" i="22"/>
  <c r="AL371" i="22"/>
  <c r="AK371" i="22"/>
  <c r="AJ371" i="22"/>
  <c r="AI371" i="22"/>
  <c r="AH371" i="22"/>
  <c r="AG371" i="22"/>
  <c r="AF371" i="22"/>
  <c r="AE371" i="22"/>
  <c r="AD371" i="22"/>
  <c r="AC371" i="22"/>
  <c r="AB371" i="22"/>
  <c r="AA371" i="22"/>
  <c r="AL370" i="22"/>
  <c r="AK370" i="22"/>
  <c r="AJ370" i="22"/>
  <c r="AI370" i="22"/>
  <c r="AH370" i="22"/>
  <c r="AG370" i="22"/>
  <c r="AF370" i="22"/>
  <c r="AE370" i="22"/>
  <c r="AD370" i="22"/>
  <c r="AC370" i="22"/>
  <c r="AB370" i="22"/>
  <c r="AA370" i="22"/>
  <c r="AL369" i="22"/>
  <c r="AK369" i="22"/>
  <c r="AJ369" i="22"/>
  <c r="AI369" i="22"/>
  <c r="AH369" i="22"/>
  <c r="AG369" i="22"/>
  <c r="AF369" i="22"/>
  <c r="AE369" i="22"/>
  <c r="AD369" i="22"/>
  <c r="AC369" i="22"/>
  <c r="AB369" i="22"/>
  <c r="AA369" i="22"/>
  <c r="AL368" i="22"/>
  <c r="AK368" i="22"/>
  <c r="AJ368" i="22"/>
  <c r="AI368" i="22"/>
  <c r="AH368" i="22"/>
  <c r="AG368" i="22"/>
  <c r="AF368" i="22"/>
  <c r="AE368" i="22"/>
  <c r="AD368" i="22"/>
  <c r="AC368" i="22"/>
  <c r="AB368" i="22"/>
  <c r="AA368" i="22"/>
  <c r="AL367" i="22"/>
  <c r="AK367" i="22"/>
  <c r="AJ367" i="22"/>
  <c r="AI367" i="22"/>
  <c r="AH367" i="22"/>
  <c r="AG367" i="22"/>
  <c r="AF367" i="22"/>
  <c r="AE367" i="22"/>
  <c r="AD367" i="22"/>
  <c r="AC367" i="22"/>
  <c r="AB367" i="22"/>
  <c r="AA367" i="22"/>
  <c r="AL366" i="22"/>
  <c r="AK366" i="22"/>
  <c r="AJ366" i="22"/>
  <c r="AI366" i="22"/>
  <c r="AH366" i="22"/>
  <c r="AG366" i="22"/>
  <c r="AF366" i="22"/>
  <c r="AE366" i="22"/>
  <c r="AD366" i="22"/>
  <c r="AC366" i="22"/>
  <c r="AB366" i="22"/>
  <c r="AA366" i="22"/>
  <c r="AL365" i="22"/>
  <c r="AK365" i="22"/>
  <c r="AJ365" i="22"/>
  <c r="AI365" i="22"/>
  <c r="AH365" i="22"/>
  <c r="AG365" i="22"/>
  <c r="AF365" i="22"/>
  <c r="AE365" i="22"/>
  <c r="AD365" i="22"/>
  <c r="AC365" i="22"/>
  <c r="AB365" i="22"/>
  <c r="AA365" i="22"/>
  <c r="AL364" i="22"/>
  <c r="AK364" i="22"/>
  <c r="AJ364" i="22"/>
  <c r="AI364" i="22"/>
  <c r="AH364" i="22"/>
  <c r="AG364" i="22"/>
  <c r="AF364" i="22"/>
  <c r="AE364" i="22"/>
  <c r="AD364" i="22"/>
  <c r="AC364" i="22"/>
  <c r="AB364" i="22"/>
  <c r="AA364" i="22"/>
  <c r="AL363" i="22"/>
  <c r="AK363" i="22"/>
  <c r="AJ363" i="22"/>
  <c r="AI363" i="22"/>
  <c r="AH363" i="22"/>
  <c r="AG363" i="22"/>
  <c r="AF363" i="22"/>
  <c r="AE363" i="22"/>
  <c r="AD363" i="22"/>
  <c r="AC363" i="22"/>
  <c r="AB363" i="22"/>
  <c r="AA363" i="22"/>
  <c r="AL361" i="22"/>
  <c r="AK361" i="22"/>
  <c r="AJ361" i="22"/>
  <c r="AI361" i="22"/>
  <c r="AH361" i="22"/>
  <c r="AG361" i="22"/>
  <c r="AF361" i="22"/>
  <c r="AE361" i="22"/>
  <c r="AD361" i="22"/>
  <c r="AC361" i="22"/>
  <c r="AB361" i="22"/>
  <c r="AA361" i="22"/>
  <c r="AL360" i="22"/>
  <c r="AK360" i="22"/>
  <c r="AJ360" i="22"/>
  <c r="AI360" i="22"/>
  <c r="AH360" i="22"/>
  <c r="AG360" i="22"/>
  <c r="AF360" i="22"/>
  <c r="AE360" i="22"/>
  <c r="AD360" i="22"/>
  <c r="AC360" i="22"/>
  <c r="AB360" i="22"/>
  <c r="AA360" i="22"/>
  <c r="AL359" i="22"/>
  <c r="AK359" i="22"/>
  <c r="AJ359" i="22"/>
  <c r="AI359" i="22"/>
  <c r="AH359" i="22"/>
  <c r="AG359" i="22"/>
  <c r="AF359" i="22"/>
  <c r="AE359" i="22"/>
  <c r="AD359" i="22"/>
  <c r="AC359" i="22"/>
  <c r="AB359" i="22"/>
  <c r="AA359" i="22"/>
  <c r="AL358" i="22"/>
  <c r="AK358" i="22"/>
  <c r="AJ358" i="22"/>
  <c r="AI358" i="22"/>
  <c r="AH358" i="22"/>
  <c r="AG358" i="22"/>
  <c r="AF358" i="22"/>
  <c r="AE358" i="22"/>
  <c r="AD358" i="22"/>
  <c r="AC358" i="22"/>
  <c r="AB358" i="22"/>
  <c r="AA358" i="22"/>
  <c r="AL357" i="22"/>
  <c r="AK357" i="22"/>
  <c r="AJ357" i="22"/>
  <c r="AI357" i="22"/>
  <c r="AH357" i="22"/>
  <c r="AG357" i="22"/>
  <c r="AF357" i="22"/>
  <c r="AE357" i="22"/>
  <c r="AD357" i="22"/>
  <c r="AC357" i="22"/>
  <c r="AB357" i="22"/>
  <c r="AA357" i="22"/>
  <c r="AL356" i="22"/>
  <c r="AK356" i="22"/>
  <c r="AJ356" i="22"/>
  <c r="AI356" i="22"/>
  <c r="AH356" i="22"/>
  <c r="AG356" i="22"/>
  <c r="AF356" i="22"/>
  <c r="AE356" i="22"/>
  <c r="AD356" i="22"/>
  <c r="AC356" i="22"/>
  <c r="AB356" i="22"/>
  <c r="AA356" i="22"/>
  <c r="AL355" i="22"/>
  <c r="AK355" i="22"/>
  <c r="AJ355" i="22"/>
  <c r="AI355" i="22"/>
  <c r="AH355" i="22"/>
  <c r="AG355" i="22"/>
  <c r="AF355" i="22"/>
  <c r="AE355" i="22"/>
  <c r="AD355" i="22"/>
  <c r="AC355" i="22"/>
  <c r="AB355" i="22"/>
  <c r="AA355" i="22"/>
  <c r="AL354" i="22"/>
  <c r="AK354" i="22"/>
  <c r="AJ354" i="22"/>
  <c r="AI354" i="22"/>
  <c r="AH354" i="22"/>
  <c r="AG354" i="22"/>
  <c r="AF354" i="22"/>
  <c r="AE354" i="22"/>
  <c r="AD354" i="22"/>
  <c r="AC354" i="22"/>
  <c r="AB354" i="22"/>
  <c r="AA354" i="22"/>
  <c r="AL353" i="22"/>
  <c r="AK353" i="22"/>
  <c r="AJ353" i="22"/>
  <c r="AI353" i="22"/>
  <c r="AH353" i="22"/>
  <c r="AG353" i="22"/>
  <c r="AF353" i="22"/>
  <c r="AE353" i="22"/>
  <c r="AD353" i="22"/>
  <c r="AC353" i="22"/>
  <c r="AB353" i="22"/>
  <c r="AA353" i="22"/>
  <c r="AL352" i="22"/>
  <c r="AK352" i="22"/>
  <c r="AJ352" i="22"/>
  <c r="AI352" i="22"/>
  <c r="AH352" i="22"/>
  <c r="AG352" i="22"/>
  <c r="AF352" i="22"/>
  <c r="AE352" i="22"/>
  <c r="AD352" i="22"/>
  <c r="AC352" i="22"/>
  <c r="AB352" i="22"/>
  <c r="AA352" i="22"/>
  <c r="AL351" i="22"/>
  <c r="AK351" i="22"/>
  <c r="AJ351" i="22"/>
  <c r="AI351" i="22"/>
  <c r="AH351" i="22"/>
  <c r="AG351" i="22"/>
  <c r="AF351" i="22"/>
  <c r="AE351" i="22"/>
  <c r="AD351" i="22"/>
  <c r="AC351" i="22"/>
  <c r="AB351" i="22"/>
  <c r="AA351" i="22"/>
  <c r="AL350" i="22"/>
  <c r="AK350" i="22"/>
  <c r="AJ350" i="22"/>
  <c r="AI350" i="22"/>
  <c r="AH350" i="22"/>
  <c r="AG350" i="22"/>
  <c r="AF350" i="22"/>
  <c r="AE350" i="22"/>
  <c r="AD350" i="22"/>
  <c r="AC350" i="22"/>
  <c r="AB350" i="22"/>
  <c r="AA350" i="22"/>
  <c r="AL349" i="22"/>
  <c r="AK349" i="22"/>
  <c r="AJ349" i="22"/>
  <c r="AI349" i="22"/>
  <c r="AH349" i="22"/>
  <c r="AG349" i="22"/>
  <c r="AF349" i="22"/>
  <c r="AE349" i="22"/>
  <c r="AD349" i="22"/>
  <c r="AC349" i="22"/>
  <c r="AB349" i="22"/>
  <c r="AA349" i="22"/>
  <c r="AL348" i="22"/>
  <c r="AK348" i="22"/>
  <c r="AJ348" i="22"/>
  <c r="AI348" i="22"/>
  <c r="AH348" i="22"/>
  <c r="AG348" i="22"/>
  <c r="AF348" i="22"/>
  <c r="AE348" i="22"/>
  <c r="AD348" i="22"/>
  <c r="AC348" i="22"/>
  <c r="AB348" i="22"/>
  <c r="AA348" i="22"/>
  <c r="AL347" i="22"/>
  <c r="AK347" i="22"/>
  <c r="AJ347" i="22"/>
  <c r="AI347" i="22"/>
  <c r="AH347" i="22"/>
  <c r="AG347" i="22"/>
  <c r="AF347" i="22"/>
  <c r="AE347" i="22"/>
  <c r="AD347" i="22"/>
  <c r="AC347" i="22"/>
  <c r="AB347" i="22"/>
  <c r="AA347" i="22"/>
  <c r="AL346" i="22"/>
  <c r="AK346" i="22"/>
  <c r="AJ346" i="22"/>
  <c r="AI346" i="22"/>
  <c r="AH346" i="22"/>
  <c r="AG346" i="22"/>
  <c r="AF346" i="22"/>
  <c r="AE346" i="22"/>
  <c r="AD346" i="22"/>
  <c r="AC346" i="22"/>
  <c r="AB346" i="22"/>
  <c r="AA346" i="22"/>
  <c r="AL345" i="22"/>
  <c r="AK345" i="22"/>
  <c r="AJ345" i="22"/>
  <c r="AI345" i="22"/>
  <c r="AH345" i="22"/>
  <c r="AG345" i="22"/>
  <c r="AF345" i="22"/>
  <c r="AE345" i="22"/>
  <c r="AD345" i="22"/>
  <c r="AC345" i="22"/>
  <c r="AB345" i="22"/>
  <c r="AA345" i="22"/>
  <c r="AL344" i="22"/>
  <c r="AK344" i="22"/>
  <c r="AJ344" i="22"/>
  <c r="AI344" i="22"/>
  <c r="AH344" i="22"/>
  <c r="AG344" i="22"/>
  <c r="AF344" i="22"/>
  <c r="AE344" i="22"/>
  <c r="AD344" i="22"/>
  <c r="AC344" i="22"/>
  <c r="AB344" i="22"/>
  <c r="AA344" i="22"/>
  <c r="AL343" i="22"/>
  <c r="AK343" i="22"/>
  <c r="AJ343" i="22"/>
  <c r="AI343" i="22"/>
  <c r="AH343" i="22"/>
  <c r="AG343" i="22"/>
  <c r="AF343" i="22"/>
  <c r="AE343" i="22"/>
  <c r="AD343" i="22"/>
  <c r="AC343" i="22"/>
  <c r="AB343" i="22"/>
  <c r="AA343" i="22"/>
  <c r="AL342" i="22"/>
  <c r="AK342" i="22"/>
  <c r="AJ342" i="22"/>
  <c r="AI342" i="22"/>
  <c r="AH342" i="22"/>
  <c r="AG342" i="22"/>
  <c r="AF342" i="22"/>
  <c r="AE342" i="22"/>
  <c r="AD342" i="22"/>
  <c r="AC342" i="22"/>
  <c r="AB342" i="22"/>
  <c r="AA342" i="22"/>
  <c r="AL341" i="22"/>
  <c r="AK341" i="22"/>
  <c r="AJ341" i="22"/>
  <c r="AI341" i="22"/>
  <c r="AH341" i="22"/>
  <c r="AG341" i="22"/>
  <c r="AF341" i="22"/>
  <c r="AE341" i="22"/>
  <c r="AD341" i="22"/>
  <c r="AC341" i="22"/>
  <c r="AB341" i="22"/>
  <c r="AA341" i="22"/>
  <c r="AL340" i="22"/>
  <c r="AK340" i="22"/>
  <c r="AJ340" i="22"/>
  <c r="AI340" i="22"/>
  <c r="AH340" i="22"/>
  <c r="AG340" i="22"/>
  <c r="AF340" i="22"/>
  <c r="AE340" i="22"/>
  <c r="AD340" i="22"/>
  <c r="AC340" i="22"/>
  <c r="AB340" i="22"/>
  <c r="AA340" i="22"/>
  <c r="AL339" i="22"/>
  <c r="AK339" i="22"/>
  <c r="AJ339" i="22"/>
  <c r="AI339" i="22"/>
  <c r="AH339" i="22"/>
  <c r="AG339" i="22"/>
  <c r="AF339" i="22"/>
  <c r="AE339" i="22"/>
  <c r="AD339" i="22"/>
  <c r="AC339" i="22"/>
  <c r="AB339" i="22"/>
  <c r="AA339" i="22"/>
  <c r="AL338" i="22"/>
  <c r="AK338" i="22"/>
  <c r="AJ338" i="22"/>
  <c r="AI338" i="22"/>
  <c r="AH338" i="22"/>
  <c r="AG338" i="22"/>
  <c r="AF338" i="22"/>
  <c r="AE338" i="22"/>
  <c r="AD338" i="22"/>
  <c r="AC338" i="22"/>
  <c r="AB338" i="22"/>
  <c r="AA338" i="22"/>
  <c r="AL337" i="22"/>
  <c r="AK337" i="22"/>
  <c r="AJ337" i="22"/>
  <c r="AI337" i="22"/>
  <c r="AH337" i="22"/>
  <c r="AG337" i="22"/>
  <c r="AF337" i="22"/>
  <c r="AE337" i="22"/>
  <c r="AD337" i="22"/>
  <c r="AC337" i="22"/>
  <c r="AB337" i="22"/>
  <c r="AA337" i="22"/>
  <c r="AL336" i="22"/>
  <c r="AK336" i="22"/>
  <c r="AJ336" i="22"/>
  <c r="AI336" i="22"/>
  <c r="AH336" i="22"/>
  <c r="AG336" i="22"/>
  <c r="AF336" i="22"/>
  <c r="AE336" i="22"/>
  <c r="AD336" i="22"/>
  <c r="AC336" i="22"/>
  <c r="AB336" i="22"/>
  <c r="AA336" i="22"/>
  <c r="AL335" i="22"/>
  <c r="AK335" i="22"/>
  <c r="AJ335" i="22"/>
  <c r="AI335" i="22"/>
  <c r="AH335" i="22"/>
  <c r="AG335" i="22"/>
  <c r="AF335" i="22"/>
  <c r="AE335" i="22"/>
  <c r="AD335" i="22"/>
  <c r="AC335" i="22"/>
  <c r="AB335" i="22"/>
  <c r="AA335" i="22"/>
  <c r="AL334" i="22"/>
  <c r="AK334" i="22"/>
  <c r="AJ334" i="22"/>
  <c r="AI334" i="22"/>
  <c r="AH334" i="22"/>
  <c r="AG334" i="22"/>
  <c r="AF334" i="22"/>
  <c r="AE334" i="22"/>
  <c r="AD334" i="22"/>
  <c r="AC334" i="22"/>
  <c r="AA334" i="22"/>
  <c r="AL333" i="22"/>
  <c r="AK333" i="22"/>
  <c r="AJ333" i="22"/>
  <c r="AI333" i="22"/>
  <c r="AH333" i="22"/>
  <c r="AG333" i="22"/>
  <c r="AF333" i="22"/>
  <c r="AE333" i="22"/>
  <c r="AD333" i="22"/>
  <c r="AC333" i="22"/>
  <c r="AB333" i="22"/>
  <c r="AA333" i="22"/>
  <c r="AL332" i="22"/>
  <c r="AK332" i="22"/>
  <c r="AJ332" i="22"/>
  <c r="AI332" i="22"/>
  <c r="AH332" i="22"/>
  <c r="AG332" i="22"/>
  <c r="AF332" i="22"/>
  <c r="AE332" i="22"/>
  <c r="AD332" i="22"/>
  <c r="AC332" i="22"/>
  <c r="AB332" i="22"/>
  <c r="AA332" i="22"/>
  <c r="AL331" i="22"/>
  <c r="AK331" i="22"/>
  <c r="AJ331" i="22"/>
  <c r="AI331" i="22"/>
  <c r="AH331" i="22"/>
  <c r="AG331" i="22"/>
  <c r="AF331" i="22"/>
  <c r="AE331" i="22"/>
  <c r="AD331" i="22"/>
  <c r="AC331" i="22"/>
  <c r="AB331" i="22"/>
  <c r="AA331" i="22"/>
  <c r="AL330" i="22"/>
  <c r="AK330" i="22"/>
  <c r="AJ330" i="22"/>
  <c r="AI330" i="22"/>
  <c r="AH330" i="22"/>
  <c r="AG330" i="22"/>
  <c r="AF330" i="22"/>
  <c r="AE330" i="22"/>
  <c r="AD330" i="22"/>
  <c r="AB330" i="22"/>
  <c r="AA330" i="22"/>
  <c r="AL329" i="22"/>
  <c r="AK329" i="22"/>
  <c r="AJ329" i="22"/>
  <c r="AI329" i="22"/>
  <c r="AH329" i="22"/>
  <c r="AG329" i="22"/>
  <c r="AF329" i="22"/>
  <c r="AE329" i="22"/>
  <c r="AD329" i="22"/>
  <c r="AC329" i="22"/>
  <c r="AB329" i="22"/>
  <c r="AA329" i="22"/>
  <c r="AL328" i="22"/>
  <c r="AK328" i="22"/>
  <c r="AJ328" i="22"/>
  <c r="AI328" i="22"/>
  <c r="AH328" i="22"/>
  <c r="AG328" i="22"/>
  <c r="AF328" i="22"/>
  <c r="AE328" i="22"/>
  <c r="AD328" i="22"/>
  <c r="AC328" i="22"/>
  <c r="AB328" i="22"/>
  <c r="AA328" i="22"/>
  <c r="AL327" i="22"/>
  <c r="AK327" i="22"/>
  <c r="AJ327" i="22"/>
  <c r="AI327" i="22"/>
  <c r="AH327" i="22"/>
  <c r="AG327" i="22"/>
  <c r="AF327" i="22"/>
  <c r="AE327" i="22"/>
  <c r="AD327" i="22"/>
  <c r="AC327" i="22"/>
  <c r="AB327" i="22"/>
  <c r="AA327" i="22"/>
  <c r="AL326" i="22"/>
  <c r="AK326" i="22"/>
  <c r="AJ326" i="22"/>
  <c r="AI326" i="22"/>
  <c r="AH326" i="22"/>
  <c r="AG326" i="22"/>
  <c r="AF326" i="22"/>
  <c r="AE326" i="22"/>
  <c r="AD326" i="22"/>
  <c r="AC326" i="22"/>
  <c r="AB326" i="22"/>
  <c r="AA326" i="22"/>
  <c r="AL324" i="22"/>
  <c r="AK324" i="22"/>
  <c r="AJ324" i="22"/>
  <c r="AI324" i="22"/>
  <c r="AH324" i="22"/>
  <c r="AG324" i="22"/>
  <c r="AF324" i="22"/>
  <c r="AE324" i="22"/>
  <c r="AD324" i="22"/>
  <c r="AC324" i="22"/>
  <c r="AB324" i="22"/>
  <c r="AA324" i="22"/>
  <c r="AL322" i="22"/>
  <c r="AK322" i="22"/>
  <c r="AJ322" i="22"/>
  <c r="AI322" i="22"/>
  <c r="AH322" i="22"/>
  <c r="AG322" i="22"/>
  <c r="AF322" i="22"/>
  <c r="AE322" i="22"/>
  <c r="AD322" i="22"/>
  <c r="AC322" i="22"/>
  <c r="AB322" i="22"/>
  <c r="AA322" i="22"/>
  <c r="AL321" i="22"/>
  <c r="AK321" i="22"/>
  <c r="AJ321" i="22"/>
  <c r="AI321" i="22"/>
  <c r="AH321" i="22"/>
  <c r="AG321" i="22"/>
  <c r="AF321" i="22"/>
  <c r="AE321" i="22"/>
  <c r="AD321" i="22"/>
  <c r="AC321" i="22"/>
  <c r="AB321" i="22"/>
  <c r="AA321" i="22"/>
  <c r="AL320" i="22"/>
  <c r="AK320" i="22"/>
  <c r="AJ320" i="22"/>
  <c r="AI320" i="22"/>
  <c r="AH320" i="22"/>
  <c r="AG320" i="22"/>
  <c r="AF320" i="22"/>
  <c r="AE320" i="22"/>
  <c r="AD320" i="22"/>
  <c r="AC320" i="22"/>
  <c r="AB320" i="22"/>
  <c r="AA320" i="22"/>
  <c r="AL319" i="22"/>
  <c r="AK319" i="22"/>
  <c r="AJ319" i="22"/>
  <c r="AI319" i="22"/>
  <c r="AH319" i="22"/>
  <c r="AG319" i="22"/>
  <c r="AF319" i="22"/>
  <c r="AE319" i="22"/>
  <c r="AD319" i="22"/>
  <c r="AB319" i="22"/>
  <c r="AA319" i="22"/>
  <c r="AL318" i="22"/>
  <c r="AK318" i="22"/>
  <c r="AJ318" i="22"/>
  <c r="AI318" i="22"/>
  <c r="AH318" i="22"/>
  <c r="AG318" i="22"/>
  <c r="AF318" i="22"/>
  <c r="AE318" i="22"/>
  <c r="AD318" i="22"/>
  <c r="AC318" i="22"/>
  <c r="AB318" i="22"/>
  <c r="AA318" i="22"/>
  <c r="AL317" i="22"/>
  <c r="AK317" i="22"/>
  <c r="AJ317" i="22"/>
  <c r="AI317" i="22"/>
  <c r="AH317" i="22"/>
  <c r="AG317" i="22"/>
  <c r="AF317" i="22"/>
  <c r="AE317" i="22"/>
  <c r="AD317" i="22"/>
  <c r="AB317" i="22"/>
  <c r="AA317" i="22"/>
  <c r="AL316" i="22"/>
  <c r="AK316" i="22"/>
  <c r="AJ316" i="22"/>
  <c r="AI316" i="22"/>
  <c r="AH316" i="22"/>
  <c r="AG316" i="22"/>
  <c r="AF316" i="22"/>
  <c r="AE316" i="22"/>
  <c r="AD316" i="22"/>
  <c r="AC316" i="22"/>
  <c r="AB316" i="22"/>
  <c r="AA316" i="22"/>
  <c r="AL315" i="22"/>
  <c r="AK315" i="22"/>
  <c r="AJ315" i="22"/>
  <c r="AI315" i="22"/>
  <c r="AH315" i="22"/>
  <c r="AG315" i="22"/>
  <c r="AF315" i="22"/>
  <c r="AE315" i="22"/>
  <c r="AD315" i="22"/>
  <c r="AC315" i="22"/>
  <c r="AB315" i="22"/>
  <c r="AA315" i="22"/>
  <c r="AL314" i="22"/>
  <c r="AK314" i="22"/>
  <c r="AJ314" i="22"/>
  <c r="AI314" i="22"/>
  <c r="AH314" i="22"/>
  <c r="AG314" i="22"/>
  <c r="AF314" i="22"/>
  <c r="AE314" i="22"/>
  <c r="AD314" i="22"/>
  <c r="AC314" i="22"/>
  <c r="AB314" i="22"/>
  <c r="AA314" i="22"/>
  <c r="AL313" i="22"/>
  <c r="AK313" i="22"/>
  <c r="AJ313" i="22"/>
  <c r="AI313" i="22"/>
  <c r="AH313" i="22"/>
  <c r="AG313" i="22"/>
  <c r="AF313" i="22"/>
  <c r="AE313" i="22"/>
  <c r="AD313" i="22"/>
  <c r="AC313" i="22"/>
  <c r="AB313" i="22"/>
  <c r="AA313" i="22"/>
  <c r="AL312" i="22"/>
  <c r="AK312" i="22"/>
  <c r="AJ312" i="22"/>
  <c r="AI312" i="22"/>
  <c r="AH312" i="22"/>
  <c r="AG312" i="22"/>
  <c r="AF312" i="22"/>
  <c r="AE312" i="22"/>
  <c r="AD312" i="22"/>
  <c r="AC312" i="22"/>
  <c r="AB312" i="22"/>
  <c r="AA312" i="22"/>
  <c r="AL311" i="22"/>
  <c r="AK311" i="22"/>
  <c r="AJ311" i="22"/>
  <c r="AI311" i="22"/>
  <c r="AH311" i="22"/>
  <c r="AG311" i="22"/>
  <c r="AF311" i="22"/>
  <c r="AE311" i="22"/>
  <c r="AD311" i="22"/>
  <c r="AC311" i="22"/>
  <c r="AB311" i="22"/>
  <c r="AA311" i="22"/>
  <c r="AL310" i="22"/>
  <c r="AK310" i="22"/>
  <c r="AJ310" i="22"/>
  <c r="AI310" i="22"/>
  <c r="AH310" i="22"/>
  <c r="AG310" i="22"/>
  <c r="AF310" i="22"/>
  <c r="AE310" i="22"/>
  <c r="AD310" i="22"/>
  <c r="AC310" i="22"/>
  <c r="AB310" i="22"/>
  <c r="AA310" i="22"/>
  <c r="AL309" i="22"/>
  <c r="AK309" i="22"/>
  <c r="AJ309" i="22"/>
  <c r="AI309" i="22"/>
  <c r="AH309" i="22"/>
  <c r="AG309" i="22"/>
  <c r="AF309" i="22"/>
  <c r="AE309" i="22"/>
  <c r="AD309" i="22"/>
  <c r="AC309" i="22"/>
  <c r="AB309" i="22"/>
  <c r="AA309" i="22"/>
  <c r="AL308" i="22"/>
  <c r="AK308" i="22"/>
  <c r="AJ308" i="22"/>
  <c r="AI308" i="22"/>
  <c r="AH308" i="22"/>
  <c r="AG308" i="22"/>
  <c r="AF308" i="22"/>
  <c r="AE308" i="22"/>
  <c r="AD308" i="22"/>
  <c r="AC308" i="22"/>
  <c r="AB308" i="22"/>
  <c r="AA308" i="22"/>
  <c r="AL307" i="22"/>
  <c r="AK307" i="22"/>
  <c r="AJ307" i="22"/>
  <c r="AI307" i="22"/>
  <c r="AH307" i="22"/>
  <c r="AG307" i="22"/>
  <c r="AF307" i="22"/>
  <c r="AE307" i="22"/>
  <c r="AD307" i="22"/>
  <c r="AC307" i="22"/>
  <c r="AB307" i="22"/>
  <c r="AA307" i="22"/>
  <c r="AL306" i="22"/>
  <c r="AK306" i="22"/>
  <c r="AJ306" i="22"/>
  <c r="AI306" i="22"/>
  <c r="AH306" i="22"/>
  <c r="AG306" i="22"/>
  <c r="AF306" i="22"/>
  <c r="AE306" i="22"/>
  <c r="AD306" i="22"/>
  <c r="AC306" i="22"/>
  <c r="AB306" i="22"/>
  <c r="AA306" i="22"/>
  <c r="AL305" i="22"/>
  <c r="AK305" i="22"/>
  <c r="AJ305" i="22"/>
  <c r="AI305" i="22"/>
  <c r="AH305" i="22"/>
  <c r="AG305" i="22"/>
  <c r="AF305" i="22"/>
  <c r="AE305" i="22"/>
  <c r="AD305" i="22"/>
  <c r="AC305" i="22"/>
  <c r="AB305" i="22"/>
  <c r="AA305" i="22"/>
  <c r="AL304" i="22"/>
  <c r="AK304" i="22"/>
  <c r="AJ304" i="22"/>
  <c r="AI304" i="22"/>
  <c r="AH304" i="22"/>
  <c r="AG304" i="22"/>
  <c r="AF304" i="22"/>
  <c r="AE304" i="22"/>
  <c r="AD304" i="22"/>
  <c r="AC304" i="22"/>
  <c r="AB304" i="22"/>
  <c r="AA304" i="22"/>
  <c r="AL303" i="22"/>
  <c r="AK303" i="22"/>
  <c r="AJ303" i="22"/>
  <c r="AI303" i="22"/>
  <c r="AH303" i="22"/>
  <c r="AG303" i="22"/>
  <c r="AF303" i="22"/>
  <c r="AE303" i="22"/>
  <c r="AD303" i="22"/>
  <c r="AC303" i="22"/>
  <c r="AB303" i="22"/>
  <c r="AA303" i="22"/>
  <c r="AL302" i="22"/>
  <c r="AK302" i="22"/>
  <c r="AJ302" i="22"/>
  <c r="AI302" i="22"/>
  <c r="AH302" i="22"/>
  <c r="AG302" i="22"/>
  <c r="AF302" i="22"/>
  <c r="AE302" i="22"/>
  <c r="AD302" i="22"/>
  <c r="AC302" i="22"/>
  <c r="AB302" i="22"/>
  <c r="AA302" i="22"/>
  <c r="AL301" i="22"/>
  <c r="AK301" i="22"/>
  <c r="AJ301" i="22"/>
  <c r="AI301" i="22"/>
  <c r="AH301" i="22"/>
  <c r="AG301" i="22"/>
  <c r="AF301" i="22"/>
  <c r="AE301" i="22"/>
  <c r="AD301" i="22"/>
  <c r="AC301" i="22"/>
  <c r="AB301" i="22"/>
  <c r="AA301" i="22"/>
  <c r="AL300" i="22"/>
  <c r="AK300" i="22"/>
  <c r="AJ300" i="22"/>
  <c r="AI300" i="22"/>
  <c r="AH300" i="22"/>
  <c r="AG300" i="22"/>
  <c r="AF300" i="22"/>
  <c r="AE300" i="22"/>
  <c r="AD300" i="22"/>
  <c r="AC300" i="22"/>
  <c r="AB300" i="22"/>
  <c r="AA300" i="22"/>
  <c r="AL299" i="22"/>
  <c r="AK299" i="22"/>
  <c r="AJ299" i="22"/>
  <c r="AI299" i="22"/>
  <c r="AH299" i="22"/>
  <c r="AG299" i="22"/>
  <c r="AF299" i="22"/>
  <c r="AE299" i="22"/>
  <c r="AD299" i="22"/>
  <c r="AC299" i="22"/>
  <c r="AB299" i="22"/>
  <c r="AA299" i="22"/>
  <c r="AL298" i="22"/>
  <c r="AK298" i="22"/>
  <c r="AJ298" i="22"/>
  <c r="AI298" i="22"/>
  <c r="AH298" i="22"/>
  <c r="AG298" i="22"/>
  <c r="AF298" i="22"/>
  <c r="AE298" i="22"/>
  <c r="AD298" i="22"/>
  <c r="AC298" i="22"/>
  <c r="AB298" i="22"/>
  <c r="AA298" i="22"/>
  <c r="AL297" i="22"/>
  <c r="AK297" i="22"/>
  <c r="AJ297" i="22"/>
  <c r="AI297" i="22"/>
  <c r="AH297" i="22"/>
  <c r="AG297" i="22"/>
  <c r="AF297" i="22"/>
  <c r="AE297" i="22"/>
  <c r="AD297" i="22"/>
  <c r="AC297" i="22"/>
  <c r="AB297" i="22"/>
  <c r="AA297" i="22"/>
  <c r="AL296" i="22"/>
  <c r="AK296" i="22"/>
  <c r="AJ296" i="22"/>
  <c r="AI296" i="22"/>
  <c r="AH296" i="22"/>
  <c r="AG296" i="22"/>
  <c r="AF296" i="22"/>
  <c r="AE296" i="22"/>
  <c r="AD296" i="22"/>
  <c r="AC296" i="22"/>
  <c r="AB296" i="22"/>
  <c r="AA296" i="22"/>
  <c r="AL295" i="22"/>
  <c r="AK295" i="22"/>
  <c r="AJ295" i="22"/>
  <c r="AI295" i="22"/>
  <c r="AH295" i="22"/>
  <c r="AG295" i="22"/>
  <c r="AF295" i="22"/>
  <c r="AE295" i="22"/>
  <c r="AD295" i="22"/>
  <c r="AC295" i="22"/>
  <c r="AB295" i="22"/>
  <c r="AA295" i="22"/>
  <c r="AL294" i="22"/>
  <c r="AK294" i="22"/>
  <c r="AJ294" i="22"/>
  <c r="AI294" i="22"/>
  <c r="AH294" i="22"/>
  <c r="AG294" i="22"/>
  <c r="AF294" i="22"/>
  <c r="AE294" i="22"/>
  <c r="AD294" i="22"/>
  <c r="AC294" i="22"/>
  <c r="AB294" i="22"/>
  <c r="AA294" i="22"/>
  <c r="AL293" i="22"/>
  <c r="AK293" i="22"/>
  <c r="AJ293" i="22"/>
  <c r="AI293" i="22"/>
  <c r="AH293" i="22"/>
  <c r="AG293" i="22"/>
  <c r="AF293" i="22"/>
  <c r="AE293" i="22"/>
  <c r="AD293" i="22"/>
  <c r="AC293" i="22"/>
  <c r="AB293" i="22"/>
  <c r="AA293" i="22"/>
  <c r="AL292" i="22"/>
  <c r="AK292" i="22"/>
  <c r="AJ292" i="22"/>
  <c r="AI292" i="22"/>
  <c r="AH292" i="22"/>
  <c r="AG292" i="22"/>
  <c r="AF292" i="22"/>
  <c r="AE292" i="22"/>
  <c r="AD292" i="22"/>
  <c r="AC292" i="22"/>
  <c r="AB292" i="22"/>
  <c r="AA292" i="22"/>
  <c r="AL291" i="22"/>
  <c r="AK291" i="22"/>
  <c r="AJ291" i="22"/>
  <c r="AI291" i="22"/>
  <c r="AH291" i="22"/>
  <c r="AG291" i="22"/>
  <c r="AF291" i="22"/>
  <c r="AE291" i="22"/>
  <c r="AD291" i="22"/>
  <c r="AC291" i="22"/>
  <c r="AB291" i="22"/>
  <c r="AL290" i="22"/>
  <c r="AK290" i="22"/>
  <c r="AJ290" i="22"/>
  <c r="AI290" i="22"/>
  <c r="AH290" i="22"/>
  <c r="AG290" i="22"/>
  <c r="AF290" i="22"/>
  <c r="AE290" i="22"/>
  <c r="AD290" i="22"/>
  <c r="AC290" i="22"/>
  <c r="AB290" i="22"/>
  <c r="AA290" i="22"/>
  <c r="AL289" i="22"/>
  <c r="AK289" i="22"/>
  <c r="AJ289" i="22"/>
  <c r="AI289" i="22"/>
  <c r="AH289" i="22"/>
  <c r="AG289" i="22"/>
  <c r="AF289" i="22"/>
  <c r="AE289" i="22"/>
  <c r="AD289" i="22"/>
  <c r="AC289" i="22"/>
  <c r="AB289" i="22"/>
  <c r="AA289" i="22"/>
  <c r="AL288" i="22"/>
  <c r="AK288" i="22"/>
  <c r="AJ288" i="22"/>
  <c r="AI288" i="22"/>
  <c r="AH288" i="22"/>
  <c r="AG288" i="22"/>
  <c r="AF288" i="22"/>
  <c r="AE288" i="22"/>
  <c r="AD288" i="22"/>
  <c r="AC288" i="22"/>
  <c r="AB288" i="22"/>
  <c r="AA288" i="22"/>
  <c r="AL287" i="22"/>
  <c r="AK287" i="22"/>
  <c r="AJ287" i="22"/>
  <c r="AI287" i="22"/>
  <c r="AH287" i="22"/>
  <c r="AG287" i="22"/>
  <c r="AF287" i="22"/>
  <c r="AE287" i="22"/>
  <c r="AD287" i="22"/>
  <c r="AC287" i="22"/>
  <c r="AB287" i="22"/>
  <c r="AA287" i="22"/>
  <c r="AL286" i="22"/>
  <c r="AK286" i="22"/>
  <c r="AJ286" i="22"/>
  <c r="AI286" i="22"/>
  <c r="AH286" i="22"/>
  <c r="AG286" i="22"/>
  <c r="AF286" i="22"/>
  <c r="AE286" i="22"/>
  <c r="AD286" i="22"/>
  <c r="AC286" i="22"/>
  <c r="AB286" i="22"/>
  <c r="AA286" i="22"/>
  <c r="AL280" i="22"/>
  <c r="AK280" i="22"/>
  <c r="AJ280" i="22"/>
  <c r="AI280" i="22"/>
  <c r="AH280" i="22"/>
  <c r="AG280" i="22"/>
  <c r="AF280" i="22"/>
  <c r="AE280" i="22"/>
  <c r="AD280" i="22"/>
  <c r="AC280" i="22"/>
  <c r="AB280" i="22"/>
  <c r="AA280" i="22"/>
  <c r="AL279" i="22"/>
  <c r="AK279" i="22"/>
  <c r="AJ279" i="22"/>
  <c r="AI279" i="22"/>
  <c r="AH279" i="22"/>
  <c r="AG279" i="22"/>
  <c r="AF279" i="22"/>
  <c r="AE279" i="22"/>
  <c r="AD279" i="22"/>
  <c r="AC279" i="22"/>
  <c r="AA279" i="22"/>
  <c r="AL278" i="22"/>
  <c r="AK278" i="22"/>
  <c r="AJ278" i="22"/>
  <c r="AI278" i="22"/>
  <c r="AH278" i="22"/>
  <c r="AG278" i="22"/>
  <c r="AF278" i="22"/>
  <c r="AE278" i="22"/>
  <c r="AD278" i="22"/>
  <c r="AC278" i="22"/>
  <c r="AA278" i="22"/>
  <c r="AL277" i="22"/>
  <c r="AK277" i="22"/>
  <c r="AJ277" i="22"/>
  <c r="AI277" i="22"/>
  <c r="AH277" i="22"/>
  <c r="AG277" i="22"/>
  <c r="AF277" i="22"/>
  <c r="AE277" i="22"/>
  <c r="AD277" i="22"/>
  <c r="AC277" i="22"/>
  <c r="AB277" i="22"/>
  <c r="AA277" i="22"/>
  <c r="AL273" i="22"/>
  <c r="AK273" i="22"/>
  <c r="AJ273" i="22"/>
  <c r="AI273" i="22"/>
  <c r="AH273" i="22"/>
  <c r="AG273" i="22"/>
  <c r="AF273" i="22"/>
  <c r="AE273" i="22"/>
  <c r="AD273" i="22"/>
  <c r="AC273" i="22"/>
  <c r="AB273" i="22"/>
  <c r="AA273" i="22"/>
  <c r="AL272" i="22"/>
  <c r="AK272" i="22"/>
  <c r="AJ272" i="22"/>
  <c r="AI272" i="22"/>
  <c r="AH272" i="22"/>
  <c r="AG272" i="22"/>
  <c r="AF272" i="22"/>
  <c r="AE272" i="22"/>
  <c r="AD272" i="22"/>
  <c r="AC272" i="22"/>
  <c r="AB272" i="22"/>
  <c r="AA272" i="22"/>
  <c r="AL271" i="22"/>
  <c r="AK271" i="22"/>
  <c r="AJ271" i="22"/>
  <c r="AI271" i="22"/>
  <c r="AH271" i="22"/>
  <c r="AG271" i="22"/>
  <c r="AF271" i="22"/>
  <c r="AE271" i="22"/>
  <c r="AD271" i="22"/>
  <c r="AC271" i="22"/>
  <c r="AB271" i="22"/>
  <c r="AA271" i="22"/>
  <c r="AL270" i="22"/>
  <c r="AK270" i="22"/>
  <c r="AJ270" i="22"/>
  <c r="AI270" i="22"/>
  <c r="AH270" i="22"/>
  <c r="AG270" i="22"/>
  <c r="AF270" i="22"/>
  <c r="AE270" i="22"/>
  <c r="AD270" i="22"/>
  <c r="AC270" i="22"/>
  <c r="AB270" i="22"/>
  <c r="AA270" i="22"/>
  <c r="AL269" i="22"/>
  <c r="AK269" i="22"/>
  <c r="AJ269" i="22"/>
  <c r="AI269" i="22"/>
  <c r="AH269" i="22"/>
  <c r="AG269" i="22"/>
  <c r="AF269" i="22"/>
  <c r="AE269" i="22"/>
  <c r="AD269" i="22"/>
  <c r="AC269" i="22"/>
  <c r="AB269" i="22"/>
  <c r="AA269" i="22"/>
  <c r="AL268" i="22"/>
  <c r="AK268" i="22"/>
  <c r="AJ268" i="22"/>
  <c r="AI268" i="22"/>
  <c r="AH268" i="22"/>
  <c r="AG268" i="22"/>
  <c r="AF268" i="22"/>
  <c r="AE268" i="22"/>
  <c r="AD268" i="22"/>
  <c r="AC268" i="22"/>
  <c r="AB268" i="22"/>
  <c r="AA268" i="22"/>
  <c r="AL267" i="22"/>
  <c r="AK267" i="22"/>
  <c r="AJ267" i="22"/>
  <c r="AI267" i="22"/>
  <c r="AH267" i="22"/>
  <c r="AG267" i="22"/>
  <c r="AF267" i="22"/>
  <c r="AE267" i="22"/>
  <c r="AD267" i="22"/>
  <c r="AC267" i="22"/>
  <c r="AB267" i="22"/>
  <c r="AA267" i="22"/>
  <c r="AL266" i="22"/>
  <c r="AK266" i="22"/>
  <c r="AJ266" i="22"/>
  <c r="AI266" i="22"/>
  <c r="AH266" i="22"/>
  <c r="AG266" i="22"/>
  <c r="AF266" i="22"/>
  <c r="AE266" i="22"/>
  <c r="AD266" i="22"/>
  <c r="AC266" i="22"/>
  <c r="AB266" i="22"/>
  <c r="AA266" i="22"/>
  <c r="AL265" i="22"/>
  <c r="AK265" i="22"/>
  <c r="AJ265" i="22"/>
  <c r="AI265" i="22"/>
  <c r="AH265" i="22"/>
  <c r="AG265" i="22"/>
  <c r="AF265" i="22"/>
  <c r="AE265" i="22"/>
  <c r="AD265" i="22"/>
  <c r="AC265" i="22"/>
  <c r="AB265" i="22"/>
  <c r="AA265" i="22"/>
  <c r="AL264" i="22"/>
  <c r="AK264" i="22"/>
  <c r="AJ264" i="22"/>
  <c r="AI264" i="22"/>
  <c r="AH264" i="22"/>
  <c r="AG264" i="22"/>
  <c r="AF264" i="22"/>
  <c r="AE264" i="22"/>
  <c r="AD264" i="22"/>
  <c r="AC264" i="22"/>
  <c r="AB264" i="22"/>
  <c r="AA264" i="22"/>
  <c r="AL260" i="22"/>
  <c r="AK260" i="22"/>
  <c r="AJ260" i="22"/>
  <c r="AI260" i="22"/>
  <c r="AH260" i="22"/>
  <c r="AG260" i="22"/>
  <c r="AF260" i="22"/>
  <c r="AE260" i="22"/>
  <c r="AD260" i="22"/>
  <c r="AC260" i="22"/>
  <c r="AB260" i="22"/>
  <c r="AA260" i="22"/>
  <c r="AL258" i="22"/>
  <c r="AK258" i="22"/>
  <c r="AJ258" i="22"/>
  <c r="AI258" i="22"/>
  <c r="AH258" i="22"/>
  <c r="AG258" i="22"/>
  <c r="AF258" i="22"/>
  <c r="AE258" i="22"/>
  <c r="AD258" i="22"/>
  <c r="AC258" i="22"/>
  <c r="AB258" i="22"/>
  <c r="AA258" i="22"/>
  <c r="AL257" i="22"/>
  <c r="AK257" i="22"/>
  <c r="AJ257" i="22"/>
  <c r="AI257" i="22"/>
  <c r="AH257" i="22"/>
  <c r="AG257" i="22"/>
  <c r="AF257" i="22"/>
  <c r="AE257" i="22"/>
  <c r="AD257" i="22"/>
  <c r="AC257" i="22"/>
  <c r="AB257" i="22"/>
  <c r="AA257" i="22"/>
  <c r="AL256" i="22"/>
  <c r="AK256" i="22"/>
  <c r="AJ256" i="22"/>
  <c r="AI256" i="22"/>
  <c r="AH256" i="22"/>
  <c r="AG256" i="22"/>
  <c r="AF256" i="22"/>
  <c r="AE256" i="22"/>
  <c r="AD256" i="22"/>
  <c r="AC256" i="22"/>
  <c r="AB256" i="22"/>
  <c r="AA256" i="22"/>
  <c r="AL255" i="22"/>
  <c r="AK255" i="22"/>
  <c r="AJ255" i="22"/>
  <c r="AI255" i="22"/>
  <c r="AH255" i="22"/>
  <c r="AG255" i="22"/>
  <c r="AF255" i="22"/>
  <c r="AE255" i="22"/>
  <c r="AD255" i="22"/>
  <c r="AC255" i="22"/>
  <c r="AB255" i="22"/>
  <c r="AA255" i="22"/>
  <c r="AL254" i="22"/>
  <c r="AK254" i="22"/>
  <c r="AJ254" i="22"/>
  <c r="AI254" i="22"/>
  <c r="AH254" i="22"/>
  <c r="AG254" i="22"/>
  <c r="AF254" i="22"/>
  <c r="AE254" i="22"/>
  <c r="AD254" i="22"/>
  <c r="AC254" i="22"/>
  <c r="AB254" i="22"/>
  <c r="AA254" i="22"/>
  <c r="AL253" i="22"/>
  <c r="AK253" i="22"/>
  <c r="AJ253" i="22"/>
  <c r="AI253" i="22"/>
  <c r="AH253" i="22"/>
  <c r="AG253" i="22"/>
  <c r="AF253" i="22"/>
  <c r="AE253" i="22"/>
  <c r="AD253" i="22"/>
  <c r="AC253" i="22"/>
  <c r="AB253" i="22"/>
  <c r="AA253" i="22"/>
  <c r="AL252" i="22"/>
  <c r="AK252" i="22"/>
  <c r="AJ252" i="22"/>
  <c r="AI252" i="22"/>
  <c r="AH252" i="22"/>
  <c r="AG252" i="22"/>
  <c r="AF252" i="22"/>
  <c r="AE252" i="22"/>
  <c r="AD252" i="22"/>
  <c r="AC252" i="22"/>
  <c r="AB252" i="22"/>
  <c r="AA252" i="22"/>
  <c r="AL251" i="22"/>
  <c r="AK251" i="22"/>
  <c r="AJ251" i="22"/>
  <c r="AI251" i="22"/>
  <c r="AH251" i="22"/>
  <c r="AG251" i="22"/>
  <c r="AF251" i="22"/>
  <c r="AE251" i="22"/>
  <c r="AD251" i="22"/>
  <c r="AC251" i="22"/>
  <c r="AB251" i="22"/>
  <c r="AA251" i="22"/>
  <c r="AL250" i="22"/>
  <c r="AK250" i="22"/>
  <c r="AJ250" i="22"/>
  <c r="AI250" i="22"/>
  <c r="AH250" i="22"/>
  <c r="AG250" i="22"/>
  <c r="AF250" i="22"/>
  <c r="AE250" i="22"/>
  <c r="AD250" i="22"/>
  <c r="AC250" i="22"/>
  <c r="AB250" i="22"/>
  <c r="AA250" i="22"/>
  <c r="AL249" i="22"/>
  <c r="AK249" i="22"/>
  <c r="AJ249" i="22"/>
  <c r="AI249" i="22"/>
  <c r="AH249" i="22"/>
  <c r="AG249" i="22"/>
  <c r="AF249" i="22"/>
  <c r="AE249" i="22"/>
  <c r="AD249" i="22"/>
  <c r="AC249" i="22"/>
  <c r="AB249" i="22"/>
  <c r="AA249" i="22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AL245" i="22"/>
  <c r="AK245" i="22"/>
  <c r="AJ245" i="22"/>
  <c r="AI245" i="22"/>
  <c r="AH245" i="22"/>
  <c r="AG245" i="22"/>
  <c r="AF245" i="22"/>
  <c r="AE245" i="22"/>
  <c r="AD245" i="22"/>
  <c r="AC245" i="22"/>
  <c r="AB245" i="22"/>
  <c r="AA245" i="22"/>
  <c r="AL244" i="22"/>
  <c r="AK244" i="22"/>
  <c r="AJ244" i="22"/>
  <c r="AI244" i="22"/>
  <c r="AH244" i="22"/>
  <c r="AG244" i="22"/>
  <c r="AF244" i="22"/>
  <c r="AE244" i="22"/>
  <c r="AD244" i="22"/>
  <c r="AC244" i="22"/>
  <c r="AB244" i="22"/>
  <c r="AA244" i="22"/>
  <c r="AL243" i="22"/>
  <c r="AK243" i="22"/>
  <c r="AJ243" i="22"/>
  <c r="AI243" i="22"/>
  <c r="AH243" i="22"/>
  <c r="AG243" i="22"/>
  <c r="AF243" i="22"/>
  <c r="AE243" i="22"/>
  <c r="AD243" i="22"/>
  <c r="AC243" i="22"/>
  <c r="AB243" i="22"/>
  <c r="AA243" i="22"/>
  <c r="AL242" i="22"/>
  <c r="AK242" i="22"/>
  <c r="AJ242" i="22"/>
  <c r="AI242" i="22"/>
  <c r="AH242" i="22"/>
  <c r="AG242" i="22"/>
  <c r="AF242" i="22"/>
  <c r="AE242" i="22"/>
  <c r="AD242" i="22"/>
  <c r="AC242" i="22"/>
  <c r="AB242" i="22"/>
  <c r="AA242" i="22"/>
  <c r="AL240" i="22"/>
  <c r="AK240" i="22"/>
  <c r="AJ240" i="22"/>
  <c r="AI240" i="22"/>
  <c r="AH240" i="22"/>
  <c r="AG240" i="22"/>
  <c r="AF240" i="22"/>
  <c r="AE240" i="22"/>
  <c r="AD240" i="22"/>
  <c r="AC240" i="22"/>
  <c r="AB240" i="22"/>
  <c r="AA240" i="22"/>
  <c r="AL238" i="22"/>
  <c r="AK238" i="22"/>
  <c r="AJ238" i="22"/>
  <c r="AI238" i="22"/>
  <c r="AH238" i="22"/>
  <c r="AG238" i="22"/>
  <c r="AF238" i="22"/>
  <c r="AE238" i="22"/>
  <c r="AD238" i="22"/>
  <c r="AC238" i="22"/>
  <c r="AB238" i="22"/>
  <c r="AA238" i="22"/>
  <c r="AL237" i="22"/>
  <c r="AK237" i="22"/>
  <c r="AJ237" i="22"/>
  <c r="AI237" i="22"/>
  <c r="AH237" i="22"/>
  <c r="AG237" i="22"/>
  <c r="AF237" i="22"/>
  <c r="AE237" i="22"/>
  <c r="AD237" i="22"/>
  <c r="AC237" i="22"/>
  <c r="AB237" i="22"/>
  <c r="AA237" i="22"/>
  <c r="AL233" i="22"/>
  <c r="AK233" i="22"/>
  <c r="AJ233" i="22"/>
  <c r="AI233" i="22"/>
  <c r="AH233" i="22"/>
  <c r="AG233" i="22"/>
  <c r="AF233" i="22"/>
  <c r="AE233" i="22"/>
  <c r="AD233" i="22"/>
  <c r="AC233" i="22"/>
  <c r="AB233" i="22"/>
  <c r="AA233" i="22"/>
  <c r="AL232" i="22"/>
  <c r="AK232" i="22"/>
  <c r="AJ232" i="22"/>
  <c r="AI232" i="22"/>
  <c r="AH232" i="22"/>
  <c r="AG232" i="22"/>
  <c r="AF232" i="22"/>
  <c r="AE232" i="22"/>
  <c r="AD232" i="22"/>
  <c r="AC232" i="22"/>
  <c r="AB232" i="22"/>
  <c r="AA232" i="22"/>
  <c r="AL228" i="22"/>
  <c r="AK228" i="22"/>
  <c r="AJ228" i="22"/>
  <c r="AI228" i="22"/>
  <c r="AH228" i="22"/>
  <c r="AG228" i="22"/>
  <c r="AF228" i="22"/>
  <c r="AE228" i="22"/>
  <c r="AD228" i="22"/>
  <c r="AC228" i="22"/>
  <c r="AB228" i="22"/>
  <c r="AA228" i="22"/>
  <c r="AL227" i="22"/>
  <c r="AK227" i="22"/>
  <c r="AJ227" i="22"/>
  <c r="AI227" i="22"/>
  <c r="AH227" i="22"/>
  <c r="AG227" i="22"/>
  <c r="AF227" i="22"/>
  <c r="AE227" i="22"/>
  <c r="AD227" i="22"/>
  <c r="AC227" i="22"/>
  <c r="AB227" i="22"/>
  <c r="AA227" i="22"/>
  <c r="AL226" i="22"/>
  <c r="AK226" i="22"/>
  <c r="AJ226" i="22"/>
  <c r="AI226" i="22"/>
  <c r="AH226" i="22"/>
  <c r="AG226" i="22"/>
  <c r="AF226" i="22"/>
  <c r="AE226" i="22"/>
  <c r="AD226" i="22"/>
  <c r="AC226" i="22"/>
  <c r="AB226" i="22"/>
  <c r="AA226" i="22"/>
  <c r="AL225" i="22"/>
  <c r="AK225" i="22"/>
  <c r="AJ225" i="22"/>
  <c r="AI225" i="22"/>
  <c r="AH225" i="22"/>
  <c r="AG225" i="22"/>
  <c r="AF225" i="22"/>
  <c r="AE225" i="22"/>
  <c r="AD225" i="22"/>
  <c r="AC225" i="22"/>
  <c r="AB225" i="22"/>
  <c r="AA225" i="22"/>
  <c r="AL224" i="22"/>
  <c r="AK224" i="22"/>
  <c r="AJ224" i="22"/>
  <c r="AI224" i="22"/>
  <c r="AH224" i="22"/>
  <c r="AG224" i="22"/>
  <c r="AF224" i="22"/>
  <c r="AE224" i="22"/>
  <c r="AD224" i="22"/>
  <c r="AC224" i="22"/>
  <c r="AB224" i="22"/>
  <c r="AA224" i="22"/>
  <c r="AL220" i="22"/>
  <c r="AK220" i="22"/>
  <c r="AJ220" i="22"/>
  <c r="AI220" i="22"/>
  <c r="AH220" i="22"/>
  <c r="AG220" i="22"/>
  <c r="AF220" i="22"/>
  <c r="AE220" i="22"/>
  <c r="AD220" i="22"/>
  <c r="AC220" i="22"/>
  <c r="AB220" i="22"/>
  <c r="AA220" i="22"/>
  <c r="AL219" i="22"/>
  <c r="AK219" i="22"/>
  <c r="AJ219" i="22"/>
  <c r="AI219" i="22"/>
  <c r="AH219" i="22"/>
  <c r="AG219" i="22"/>
  <c r="AF219" i="22"/>
  <c r="AE219" i="22"/>
  <c r="AD219" i="22"/>
  <c r="AC219" i="22"/>
  <c r="AB219" i="22"/>
  <c r="AA219" i="22"/>
  <c r="AL218" i="22"/>
  <c r="AK218" i="22"/>
  <c r="AJ218" i="22"/>
  <c r="AI218" i="22"/>
  <c r="AH218" i="22"/>
  <c r="AG218" i="22"/>
  <c r="AF218" i="22"/>
  <c r="AE218" i="22"/>
  <c r="AD218" i="22"/>
  <c r="AC218" i="22"/>
  <c r="AB218" i="22"/>
  <c r="AA218" i="22"/>
  <c r="AL217" i="22"/>
  <c r="AK217" i="22"/>
  <c r="AJ217" i="22"/>
  <c r="AI217" i="22"/>
  <c r="AH217" i="22"/>
  <c r="AG217" i="22"/>
  <c r="AF217" i="22"/>
  <c r="AE217" i="22"/>
  <c r="AD217" i="22"/>
  <c r="AC217" i="22"/>
  <c r="AB217" i="22"/>
  <c r="AA217" i="22"/>
  <c r="AL216" i="22"/>
  <c r="AK216" i="22"/>
  <c r="AJ216" i="22"/>
  <c r="AI216" i="22"/>
  <c r="AH216" i="22"/>
  <c r="AG216" i="22"/>
  <c r="AF216" i="22"/>
  <c r="AE216" i="22"/>
  <c r="AD216" i="22"/>
  <c r="AC216" i="22"/>
  <c r="AB216" i="22"/>
  <c r="AA216" i="22"/>
  <c r="AL212" i="22"/>
  <c r="AK212" i="22"/>
  <c r="AJ212" i="22"/>
  <c r="AI212" i="22"/>
  <c r="AH212" i="22"/>
  <c r="AG212" i="22"/>
  <c r="AF212" i="22"/>
  <c r="AE212" i="22"/>
  <c r="AD212" i="22"/>
  <c r="AC212" i="22"/>
  <c r="AB212" i="22"/>
  <c r="AA212" i="22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AL210" i="22"/>
  <c r="AK210" i="22"/>
  <c r="AJ210" i="22"/>
  <c r="AI210" i="22"/>
  <c r="AH210" i="22"/>
  <c r="AG210" i="22"/>
  <c r="AF210" i="22"/>
  <c r="AE210" i="22"/>
  <c r="AD210" i="22"/>
  <c r="AC210" i="22"/>
  <c r="AB210" i="22"/>
  <c r="AA210" i="22"/>
  <c r="AL209" i="22"/>
  <c r="AK209" i="22"/>
  <c r="AJ209" i="22"/>
  <c r="AI209" i="22"/>
  <c r="AH209" i="22"/>
  <c r="AG209" i="22"/>
  <c r="AF209" i="22"/>
  <c r="AE209" i="22"/>
  <c r="AD209" i="22"/>
  <c r="AC209" i="22"/>
  <c r="AB209" i="22"/>
  <c r="AA209" i="22"/>
  <c r="AL205" i="22"/>
  <c r="AK205" i="22"/>
  <c r="AJ205" i="22"/>
  <c r="AI205" i="22"/>
  <c r="AH205" i="22"/>
  <c r="AG205" i="22"/>
  <c r="AF205" i="22"/>
  <c r="AE205" i="22"/>
  <c r="AD205" i="22"/>
  <c r="AC205" i="22"/>
  <c r="AB205" i="22"/>
  <c r="AA205" i="22"/>
  <c r="AL203" i="22"/>
  <c r="AK203" i="22"/>
  <c r="AJ203" i="22"/>
  <c r="AI203" i="22"/>
  <c r="AH203" i="22"/>
  <c r="AG203" i="22"/>
  <c r="AF203" i="22"/>
  <c r="AE203" i="22"/>
  <c r="AD203" i="22"/>
  <c r="AC203" i="22"/>
  <c r="AB203" i="22"/>
  <c r="AA203" i="22"/>
  <c r="AL202" i="22"/>
  <c r="AK202" i="22"/>
  <c r="AJ202" i="22"/>
  <c r="AI202" i="22"/>
  <c r="AH202" i="22"/>
  <c r="AG202" i="22"/>
  <c r="AF202" i="22"/>
  <c r="AE202" i="22"/>
  <c r="AD202" i="22"/>
  <c r="AC202" i="22"/>
  <c r="AB202" i="22"/>
  <c r="AA202" i="22"/>
  <c r="AL198" i="22"/>
  <c r="AK198" i="22"/>
  <c r="AJ198" i="22"/>
  <c r="AI198" i="22"/>
  <c r="AH198" i="22"/>
  <c r="AG198" i="22"/>
  <c r="AF198" i="22"/>
  <c r="AE198" i="22"/>
  <c r="AD198" i="22"/>
  <c r="AC198" i="22"/>
  <c r="AB198" i="22"/>
  <c r="AA198" i="22"/>
  <c r="AL197" i="22"/>
  <c r="AK197" i="22"/>
  <c r="AJ197" i="22"/>
  <c r="AI197" i="22"/>
  <c r="AH197" i="22"/>
  <c r="AG197" i="22"/>
  <c r="AF197" i="22"/>
  <c r="AE197" i="22"/>
  <c r="AD197" i="22"/>
  <c r="AC197" i="22"/>
  <c r="AB197" i="22"/>
  <c r="AA197" i="22"/>
  <c r="AL196" i="22"/>
  <c r="AK196" i="22"/>
  <c r="AJ196" i="22"/>
  <c r="AI196" i="22"/>
  <c r="AH196" i="22"/>
  <c r="AG196" i="22"/>
  <c r="AF196" i="22"/>
  <c r="AE196" i="22"/>
  <c r="AD196" i="22"/>
  <c r="AC196" i="22"/>
  <c r="AB196" i="22"/>
  <c r="AA196" i="22"/>
  <c r="AL192" i="22"/>
  <c r="AK192" i="22"/>
  <c r="AJ192" i="22"/>
  <c r="AI192" i="22"/>
  <c r="AH192" i="22"/>
  <c r="AG192" i="22"/>
  <c r="AF192" i="22"/>
  <c r="AE192" i="22"/>
  <c r="AD192" i="22"/>
  <c r="AC192" i="22"/>
  <c r="AB192" i="22"/>
  <c r="AA192" i="22"/>
  <c r="AL191" i="22"/>
  <c r="AK191" i="22"/>
  <c r="AJ191" i="22"/>
  <c r="AI191" i="22"/>
  <c r="AH191" i="22"/>
  <c r="AG191" i="22"/>
  <c r="AF191" i="22"/>
  <c r="AE191" i="22"/>
  <c r="AD191" i="22"/>
  <c r="AC191" i="22"/>
  <c r="AB191" i="22"/>
  <c r="AA191" i="22"/>
  <c r="AL190" i="22"/>
  <c r="AK190" i="22"/>
  <c r="AJ190" i="22"/>
  <c r="AI190" i="22"/>
  <c r="AH190" i="22"/>
  <c r="AG190" i="22"/>
  <c r="AF190" i="22"/>
  <c r="AE190" i="22"/>
  <c r="AD190" i="22"/>
  <c r="AC190" i="22"/>
  <c r="AB190" i="22"/>
  <c r="AA190" i="22"/>
  <c r="AL189" i="22"/>
  <c r="AK189" i="22"/>
  <c r="AJ189" i="22"/>
  <c r="AI189" i="22"/>
  <c r="AH189" i="22"/>
  <c r="AG189" i="22"/>
  <c r="AF189" i="22"/>
  <c r="AE189" i="22"/>
  <c r="AD189" i="22"/>
  <c r="AC189" i="22"/>
  <c r="AB189" i="22"/>
  <c r="AA189" i="22"/>
  <c r="AL188" i="22"/>
  <c r="AK188" i="22"/>
  <c r="AJ188" i="22"/>
  <c r="AI188" i="22"/>
  <c r="AH188" i="22"/>
  <c r="AG188" i="22"/>
  <c r="AF188" i="22"/>
  <c r="AE188" i="22"/>
  <c r="AD188" i="22"/>
  <c r="AC188" i="22"/>
  <c r="AB188" i="22"/>
  <c r="AA188" i="22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AL186" i="22"/>
  <c r="AK186" i="22"/>
  <c r="AJ186" i="22"/>
  <c r="AI186" i="22"/>
  <c r="AH186" i="22"/>
  <c r="AG186" i="22"/>
  <c r="AF186" i="22"/>
  <c r="AE186" i="22"/>
  <c r="AD186" i="22"/>
  <c r="AC186" i="22"/>
  <c r="AB186" i="22"/>
  <c r="AA186" i="22"/>
  <c r="AL185" i="22"/>
  <c r="AK185" i="22"/>
  <c r="AJ185" i="22"/>
  <c r="AI185" i="22"/>
  <c r="AH185" i="22"/>
  <c r="AG185" i="22"/>
  <c r="AF185" i="22"/>
  <c r="AE185" i="22"/>
  <c r="AD185" i="22"/>
  <c r="AC185" i="22"/>
  <c r="AB185" i="22"/>
  <c r="AA185" i="22"/>
  <c r="AL184" i="22"/>
  <c r="AK184" i="22"/>
  <c r="AJ184" i="22"/>
  <c r="AI184" i="22"/>
  <c r="AH184" i="22"/>
  <c r="AG184" i="22"/>
  <c r="AF184" i="22"/>
  <c r="AE184" i="22"/>
  <c r="AD184" i="22"/>
  <c r="AC184" i="22"/>
  <c r="AB184" i="22"/>
  <c r="AA184" i="22"/>
  <c r="AL183" i="22"/>
  <c r="AK183" i="22"/>
  <c r="AJ183" i="22"/>
  <c r="AI183" i="22"/>
  <c r="AH183" i="22"/>
  <c r="AG183" i="22"/>
  <c r="AF183" i="22"/>
  <c r="AE183" i="22"/>
  <c r="AD183" i="22"/>
  <c r="AC183" i="22"/>
  <c r="AB183" i="22"/>
  <c r="AA183" i="22"/>
  <c r="AL182" i="22"/>
  <c r="AK182" i="22"/>
  <c r="AJ182" i="22"/>
  <c r="AI182" i="22"/>
  <c r="AH182" i="22"/>
  <c r="AG182" i="22"/>
  <c r="AF182" i="22"/>
  <c r="AE182" i="22"/>
  <c r="AD182" i="22"/>
  <c r="AC182" i="22"/>
  <c r="AB182" i="22"/>
  <c r="AA182" i="22"/>
  <c r="AL178" i="22"/>
  <c r="AK178" i="22"/>
  <c r="AJ178" i="22"/>
  <c r="AI178" i="22"/>
  <c r="AH178" i="22"/>
  <c r="AG178" i="22"/>
  <c r="AF178" i="22"/>
  <c r="AE178" i="22"/>
  <c r="AD178" i="22"/>
  <c r="AC178" i="22"/>
  <c r="AB178" i="22"/>
  <c r="AA178" i="22"/>
  <c r="AL177" i="22"/>
  <c r="AK177" i="22"/>
  <c r="AJ177" i="22"/>
  <c r="AI177" i="22"/>
  <c r="AH177" i="22"/>
  <c r="AG177" i="22"/>
  <c r="AF177" i="22"/>
  <c r="AE177" i="22"/>
  <c r="AD177" i="22"/>
  <c r="AC177" i="22"/>
  <c r="AB177" i="22"/>
  <c r="AA177" i="22"/>
  <c r="AL176" i="22"/>
  <c r="AK176" i="22"/>
  <c r="AJ176" i="22"/>
  <c r="AI176" i="22"/>
  <c r="AH176" i="22"/>
  <c r="AG176" i="22"/>
  <c r="AF176" i="22"/>
  <c r="AE176" i="22"/>
  <c r="AD176" i="22"/>
  <c r="AC176" i="22"/>
  <c r="AB176" i="22"/>
  <c r="AA176" i="22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AL174" i="22"/>
  <c r="AK174" i="22"/>
  <c r="AJ174" i="22"/>
  <c r="AI174" i="22"/>
  <c r="AH174" i="22"/>
  <c r="AG174" i="22"/>
  <c r="AF174" i="22"/>
  <c r="AE174" i="22"/>
  <c r="AD174" i="22"/>
  <c r="AC174" i="22"/>
  <c r="AB174" i="22"/>
  <c r="AA174" i="22"/>
  <c r="AL173" i="22"/>
  <c r="AK173" i="22"/>
  <c r="AJ173" i="22"/>
  <c r="AI173" i="22"/>
  <c r="AH173" i="22"/>
  <c r="AG173" i="22"/>
  <c r="AF173" i="22"/>
  <c r="AE173" i="22"/>
  <c r="AD173" i="22"/>
  <c r="AC173" i="22"/>
  <c r="AB173" i="22"/>
  <c r="AA173" i="22"/>
  <c r="AL172" i="22"/>
  <c r="AK172" i="22"/>
  <c r="AJ172" i="22"/>
  <c r="AI172" i="22"/>
  <c r="AH172" i="22"/>
  <c r="AG172" i="22"/>
  <c r="AF172" i="22"/>
  <c r="AE172" i="22"/>
  <c r="AD172" i="22"/>
  <c r="AC172" i="22"/>
  <c r="AB172" i="22"/>
  <c r="AA172" i="22"/>
  <c r="AL171" i="22"/>
  <c r="AK171" i="22"/>
  <c r="AJ171" i="22"/>
  <c r="AI171" i="22"/>
  <c r="AH171" i="22"/>
  <c r="AG171" i="22"/>
  <c r="AF171" i="22"/>
  <c r="AE171" i="22"/>
  <c r="AD171" i="22"/>
  <c r="AC171" i="22"/>
  <c r="AB171" i="22"/>
  <c r="AA171" i="22"/>
  <c r="AL170" i="22"/>
  <c r="AK170" i="22"/>
  <c r="AJ170" i="22"/>
  <c r="AI170" i="22"/>
  <c r="AH170" i="22"/>
  <c r="AG170" i="22"/>
  <c r="AF170" i="22"/>
  <c r="AE170" i="22"/>
  <c r="AD170" i="22"/>
  <c r="AC170" i="22"/>
  <c r="AB170" i="22"/>
  <c r="AA170" i="22"/>
  <c r="AL169" i="22"/>
  <c r="AK169" i="22"/>
  <c r="AJ169" i="22"/>
  <c r="AI169" i="22"/>
  <c r="AH169" i="22"/>
  <c r="AG169" i="22"/>
  <c r="AF169" i="22"/>
  <c r="AE169" i="22"/>
  <c r="AD169" i="22"/>
  <c r="AC169" i="22"/>
  <c r="AB169" i="22"/>
  <c r="AA169" i="22"/>
  <c r="AL168" i="22"/>
  <c r="AK168" i="22"/>
  <c r="AJ168" i="22"/>
  <c r="AI168" i="22"/>
  <c r="AH168" i="22"/>
  <c r="AG168" i="22"/>
  <c r="AF168" i="22"/>
  <c r="AE168" i="22"/>
  <c r="AD168" i="22"/>
  <c r="AC168" i="22"/>
  <c r="AB168" i="22"/>
  <c r="AA168" i="22"/>
  <c r="AL167" i="22"/>
  <c r="AK167" i="22"/>
  <c r="AJ167" i="22"/>
  <c r="AI167" i="22"/>
  <c r="AH167" i="22"/>
  <c r="AG167" i="22"/>
  <c r="AF167" i="22"/>
  <c r="AE167" i="22"/>
  <c r="AD167" i="22"/>
  <c r="AC167" i="22"/>
  <c r="AB167" i="22"/>
  <c r="AA167" i="22"/>
  <c r="AL166" i="22"/>
  <c r="AK166" i="22"/>
  <c r="AJ166" i="22"/>
  <c r="AI166" i="22"/>
  <c r="AH166" i="22"/>
  <c r="AG166" i="22"/>
  <c r="AF166" i="22"/>
  <c r="AE166" i="22"/>
  <c r="AD166" i="22"/>
  <c r="AC166" i="22"/>
  <c r="AB166" i="22"/>
  <c r="AA166" i="22"/>
  <c r="AL164" i="22"/>
  <c r="AK164" i="22"/>
  <c r="AJ164" i="22"/>
  <c r="AI164" i="22"/>
  <c r="AH164" i="22"/>
  <c r="AG164" i="22"/>
  <c r="AF164" i="22"/>
  <c r="AE164" i="22"/>
  <c r="AD164" i="22"/>
  <c r="AC164" i="22"/>
  <c r="AB164" i="22"/>
  <c r="AA164" i="22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AL162" i="22"/>
  <c r="AK162" i="22"/>
  <c r="AJ162" i="22"/>
  <c r="AI162" i="22"/>
  <c r="AH162" i="22"/>
  <c r="AG162" i="22"/>
  <c r="AF162" i="22"/>
  <c r="AE162" i="22"/>
  <c r="AD162" i="22"/>
  <c r="AC162" i="22"/>
  <c r="AB162" i="22"/>
  <c r="AA162" i="22"/>
  <c r="AL161" i="22"/>
  <c r="AK161" i="22"/>
  <c r="AJ161" i="22"/>
  <c r="AI161" i="22"/>
  <c r="AH161" i="22"/>
  <c r="AG161" i="22"/>
  <c r="AF161" i="22"/>
  <c r="AE161" i="22"/>
  <c r="AD161" i="22"/>
  <c r="AC161" i="22"/>
  <c r="AB161" i="22"/>
  <c r="AA161" i="22"/>
  <c r="AL160" i="22"/>
  <c r="AK160" i="22"/>
  <c r="AJ160" i="22"/>
  <c r="AI160" i="22"/>
  <c r="AH160" i="22"/>
  <c r="AG160" i="22"/>
  <c r="AF160" i="22"/>
  <c r="AE160" i="22"/>
  <c r="AD160" i="22"/>
  <c r="AC160" i="22"/>
  <c r="AB160" i="22"/>
  <c r="AA160" i="22"/>
  <c r="AL159" i="22"/>
  <c r="AK159" i="22"/>
  <c r="AJ159" i="22"/>
  <c r="AI159" i="22"/>
  <c r="AH159" i="22"/>
  <c r="AG159" i="22"/>
  <c r="AF159" i="22"/>
  <c r="AE159" i="22"/>
  <c r="AD159" i="22"/>
  <c r="AC159" i="22"/>
  <c r="AB159" i="22"/>
  <c r="AA159" i="22"/>
  <c r="AL158" i="22"/>
  <c r="AK158" i="22"/>
  <c r="AJ158" i="22"/>
  <c r="AI158" i="22"/>
  <c r="AH158" i="22"/>
  <c r="AG158" i="22"/>
  <c r="AF158" i="22"/>
  <c r="AE158" i="22"/>
  <c r="AD158" i="22"/>
  <c r="AC158" i="22"/>
  <c r="AB158" i="22"/>
  <c r="AA158" i="22"/>
  <c r="AL157" i="22"/>
  <c r="AK157" i="22"/>
  <c r="AJ157" i="22"/>
  <c r="AI157" i="22"/>
  <c r="AH157" i="22"/>
  <c r="AG157" i="22"/>
  <c r="AF157" i="22"/>
  <c r="AE157" i="22"/>
  <c r="AD157" i="22"/>
  <c r="AC157" i="22"/>
  <c r="AB157" i="22"/>
  <c r="AA157" i="22"/>
  <c r="AL153" i="22"/>
  <c r="AK153" i="22"/>
  <c r="AJ153" i="22"/>
  <c r="AI153" i="22"/>
  <c r="AH153" i="22"/>
  <c r="AG153" i="22"/>
  <c r="AF153" i="22"/>
  <c r="AE153" i="22"/>
  <c r="AD153" i="22"/>
  <c r="AC153" i="22"/>
  <c r="AB153" i="22"/>
  <c r="AA153" i="22"/>
  <c r="AL152" i="22"/>
  <c r="AK152" i="22"/>
  <c r="AJ152" i="22"/>
  <c r="AI152" i="22"/>
  <c r="AH152" i="22"/>
  <c r="AG152" i="22"/>
  <c r="AF152" i="22"/>
  <c r="AE152" i="22"/>
  <c r="AD152" i="22"/>
  <c r="AC152" i="22"/>
  <c r="AB152" i="22"/>
  <c r="AA152" i="22"/>
  <c r="AL151" i="22"/>
  <c r="AK151" i="22"/>
  <c r="AJ151" i="22"/>
  <c r="AI151" i="22"/>
  <c r="AH151" i="22"/>
  <c r="AG151" i="22"/>
  <c r="AF151" i="22"/>
  <c r="AE151" i="22"/>
  <c r="AD151" i="22"/>
  <c r="AC151" i="22"/>
  <c r="AB151" i="22"/>
  <c r="AA151" i="22"/>
  <c r="AL148" i="22"/>
  <c r="AK148" i="22"/>
  <c r="AJ148" i="22"/>
  <c r="AI148" i="22"/>
  <c r="AH148" i="22"/>
  <c r="AG148" i="22"/>
  <c r="AF148" i="22"/>
  <c r="AE148" i="22"/>
  <c r="AD148" i="22"/>
  <c r="AC148" i="22"/>
  <c r="AB148" i="22"/>
  <c r="AA148" i="22"/>
  <c r="AL147" i="22"/>
  <c r="AK147" i="22"/>
  <c r="AJ147" i="22"/>
  <c r="AI147" i="22"/>
  <c r="AH147" i="22"/>
  <c r="AG147" i="22"/>
  <c r="AF147" i="22"/>
  <c r="AE147" i="22"/>
  <c r="AD147" i="22"/>
  <c r="AC147" i="22"/>
  <c r="AB147" i="22"/>
  <c r="AA147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AL138" i="22"/>
  <c r="AK138" i="22"/>
  <c r="AJ138" i="22"/>
  <c r="AI138" i="22"/>
  <c r="AH138" i="22"/>
  <c r="AG138" i="22"/>
  <c r="AF138" i="22"/>
  <c r="AE138" i="22"/>
  <c r="AD138" i="22"/>
  <c r="AB138" i="22"/>
  <c r="AA138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AL136" i="22"/>
  <c r="AK136" i="22"/>
  <c r="AJ136" i="22"/>
  <c r="AI136" i="22"/>
  <c r="AH136" i="22"/>
  <c r="AG136" i="22"/>
  <c r="AF136" i="22"/>
  <c r="AE136" i="22"/>
  <c r="AD136" i="22"/>
  <c r="AC136" i="22"/>
  <c r="AB136" i="22"/>
  <c r="AA136" i="22"/>
  <c r="AL135" i="22"/>
  <c r="AK135" i="22"/>
  <c r="AJ135" i="22"/>
  <c r="AI135" i="22"/>
  <c r="AH135" i="22"/>
  <c r="AG135" i="22"/>
  <c r="AF135" i="22"/>
  <c r="AE135" i="22"/>
  <c r="AD135" i="22"/>
  <c r="AC135" i="22"/>
  <c r="AB135" i="22"/>
  <c r="AA135" i="22"/>
  <c r="AL134" i="22"/>
  <c r="AK134" i="22"/>
  <c r="AJ134" i="22"/>
  <c r="AI134" i="22"/>
  <c r="AH134" i="22"/>
  <c r="AG134" i="22"/>
  <c r="AF134" i="22"/>
  <c r="AE134" i="22"/>
  <c r="AD134" i="22"/>
  <c r="AC134" i="22"/>
  <c r="AB134" i="22"/>
  <c r="AA134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AL132" i="22"/>
  <c r="AK132" i="22"/>
  <c r="AJ132" i="22"/>
  <c r="AI132" i="22"/>
  <c r="AH132" i="22"/>
  <c r="AG132" i="22"/>
  <c r="AF132" i="22"/>
  <c r="AE132" i="22"/>
  <c r="AD132" i="22"/>
  <c r="AC132" i="22"/>
  <c r="AA132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AL125" i="22"/>
  <c r="AK125" i="22"/>
  <c r="AJ125" i="22"/>
  <c r="AI125" i="22"/>
  <c r="AH125" i="22"/>
  <c r="AG125" i="22"/>
  <c r="AF125" i="22"/>
  <c r="AE125" i="22"/>
  <c r="AD125" i="22"/>
  <c r="AC125" i="22"/>
  <c r="AB125" i="22"/>
  <c r="AA125" i="22"/>
  <c r="AL124" i="22"/>
  <c r="AK124" i="22"/>
  <c r="AJ124" i="22"/>
  <c r="AI124" i="22"/>
  <c r="AH124" i="22"/>
  <c r="AG124" i="22"/>
  <c r="AF124" i="22"/>
  <c r="AE124" i="22"/>
  <c r="AD124" i="22"/>
  <c r="AC124" i="22"/>
  <c r="AB124" i="22"/>
  <c r="AA124" i="22"/>
  <c r="AL123" i="22"/>
  <c r="AK123" i="22"/>
  <c r="AJ123" i="22"/>
  <c r="AI123" i="22"/>
  <c r="AH123" i="22"/>
  <c r="AG123" i="22"/>
  <c r="AF123" i="22"/>
  <c r="AE123" i="22"/>
  <c r="AD123" i="22"/>
  <c r="AC123" i="22"/>
  <c r="AB123" i="22"/>
  <c r="AA123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AL114" i="22"/>
  <c r="AK114" i="22"/>
  <c r="AJ114" i="22"/>
  <c r="AI114" i="22"/>
  <c r="AH114" i="22"/>
  <c r="AG114" i="22"/>
  <c r="AF114" i="22"/>
  <c r="AE114" i="22"/>
  <c r="AD114" i="22"/>
  <c r="AC114" i="22"/>
  <c r="AB114" i="22"/>
  <c r="AA114" i="22"/>
  <c r="AL113" i="22"/>
  <c r="AK113" i="22"/>
  <c r="AJ113" i="22"/>
  <c r="AI113" i="22"/>
  <c r="AH113" i="22"/>
  <c r="AG113" i="22"/>
  <c r="AF113" i="22"/>
  <c r="AE113" i="22"/>
  <c r="AD113" i="22"/>
  <c r="AC113" i="22"/>
  <c r="AB113" i="22"/>
  <c r="AA113" i="22"/>
  <c r="AL112" i="22"/>
  <c r="AK112" i="22"/>
  <c r="AJ112" i="22"/>
  <c r="AI112" i="22"/>
  <c r="AH112" i="22"/>
  <c r="AG112" i="22"/>
  <c r="AF112" i="22"/>
  <c r="AE112" i="22"/>
  <c r="AD112" i="22"/>
  <c r="AC112" i="22"/>
  <c r="AB112" i="22"/>
  <c r="AA112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AL103" i="22"/>
  <c r="AK103" i="22"/>
  <c r="AJ103" i="22"/>
  <c r="AI103" i="22"/>
  <c r="AH103" i="22"/>
  <c r="AG103" i="22"/>
  <c r="AF103" i="22"/>
  <c r="AE103" i="22"/>
  <c r="AD103" i="22"/>
  <c r="AC103" i="22"/>
  <c r="AB103" i="22"/>
  <c r="AA103" i="22"/>
  <c r="AL102" i="22"/>
  <c r="AK102" i="22"/>
  <c r="AJ102" i="22"/>
  <c r="AI102" i="22"/>
  <c r="AH102" i="22"/>
  <c r="AG102" i="22"/>
  <c r="AF102" i="22"/>
  <c r="AE102" i="22"/>
  <c r="AD102" i="22"/>
  <c r="AC102" i="22"/>
  <c r="AB102" i="22"/>
  <c r="AA102" i="22"/>
  <c r="AL101" i="22"/>
  <c r="AK101" i="22"/>
  <c r="AJ101" i="22"/>
  <c r="AI101" i="22"/>
  <c r="AH101" i="22"/>
  <c r="AG101" i="22"/>
  <c r="AF101" i="22"/>
  <c r="AE101" i="22"/>
  <c r="AD101" i="22"/>
  <c r="AC101" i="22"/>
  <c r="AB101" i="22"/>
  <c r="AA101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AL92" i="22"/>
  <c r="AK92" i="22"/>
  <c r="AJ92" i="22"/>
  <c r="AI92" i="22"/>
  <c r="AH92" i="22"/>
  <c r="AG92" i="22"/>
  <c r="AF92" i="22"/>
  <c r="AE92" i="22"/>
  <c r="AD92" i="22"/>
  <c r="AC92" i="22"/>
  <c r="AB92" i="22"/>
  <c r="AA92" i="22"/>
  <c r="AL91" i="22"/>
  <c r="AK91" i="22"/>
  <c r="AJ91" i="22"/>
  <c r="AI91" i="22"/>
  <c r="AH91" i="22"/>
  <c r="AG91" i="22"/>
  <c r="AF91" i="22"/>
  <c r="AE91" i="22"/>
  <c r="AD91" i="22"/>
  <c r="AC91" i="22"/>
  <c r="AB91" i="22"/>
  <c r="AA91" i="22"/>
  <c r="AL90" i="22"/>
  <c r="AK90" i="22"/>
  <c r="AJ90" i="22"/>
  <c r="AI90" i="22"/>
  <c r="AH90" i="22"/>
  <c r="AG90" i="22"/>
  <c r="AF90" i="22"/>
  <c r="AE90" i="22"/>
  <c r="AD90" i="22"/>
  <c r="AC90" i="22"/>
  <c r="AB90" i="22"/>
  <c r="AA90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AL81" i="22"/>
  <c r="AK81" i="22"/>
  <c r="AJ81" i="22"/>
  <c r="AI81" i="22"/>
  <c r="AH81" i="22"/>
  <c r="AG81" i="22"/>
  <c r="AF81" i="22"/>
  <c r="AE81" i="22"/>
  <c r="AD81" i="22"/>
  <c r="AC81" i="22"/>
  <c r="AB81" i="22"/>
  <c r="AA81" i="22"/>
  <c r="AL80" i="22"/>
  <c r="AK80" i="22"/>
  <c r="AJ80" i="22"/>
  <c r="AI80" i="22"/>
  <c r="AH80" i="22"/>
  <c r="AG80" i="22"/>
  <c r="AF80" i="22"/>
  <c r="AE80" i="22"/>
  <c r="AD80" i="22"/>
  <c r="AC80" i="22"/>
  <c r="AB80" i="22"/>
  <c r="AL79" i="22"/>
  <c r="AK79" i="22"/>
  <c r="AJ79" i="22"/>
  <c r="AI79" i="22"/>
  <c r="AH79" i="22"/>
  <c r="AG79" i="22"/>
  <c r="AF79" i="22"/>
  <c r="AE79" i="22"/>
  <c r="AD79" i="22"/>
  <c r="AC79" i="22"/>
  <c r="AB79" i="22"/>
  <c r="AA79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AL70" i="22"/>
  <c r="AK70" i="22"/>
  <c r="AJ70" i="22"/>
  <c r="AI70" i="22"/>
  <c r="AH70" i="22"/>
  <c r="AG70" i="22"/>
  <c r="AF70" i="22"/>
  <c r="AE70" i="22"/>
  <c r="AD70" i="22"/>
  <c r="AC70" i="22"/>
  <c r="AB70" i="22"/>
  <c r="AA70" i="22"/>
  <c r="AL69" i="22"/>
  <c r="AK69" i="22"/>
  <c r="AJ69" i="22"/>
  <c r="AI69" i="22"/>
  <c r="AH69" i="22"/>
  <c r="AG69" i="22"/>
  <c r="AF69" i="22"/>
  <c r="AE69" i="22"/>
  <c r="AD69" i="22"/>
  <c r="AC69" i="22"/>
  <c r="AB69" i="22"/>
  <c r="AA69" i="22"/>
  <c r="AL68" i="22"/>
  <c r="AK68" i="22"/>
  <c r="AJ68" i="22"/>
  <c r="AI68" i="22"/>
  <c r="AH68" i="22"/>
  <c r="AG68" i="22"/>
  <c r="AF68" i="22"/>
  <c r="AE68" i="22"/>
  <c r="AD68" i="22"/>
  <c r="AC68" i="22"/>
  <c r="AB68" i="22"/>
  <c r="AA68" i="22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AL66" i="22"/>
  <c r="AK66" i="22"/>
  <c r="AJ66" i="22"/>
  <c r="AI66" i="22"/>
  <c r="AH66" i="22"/>
  <c r="AG66" i="22"/>
  <c r="AF66" i="22"/>
  <c r="AE66" i="22"/>
  <c r="AD66" i="22"/>
  <c r="AC66" i="22"/>
  <c r="AB66" i="22"/>
  <c r="AA66" i="22"/>
  <c r="AL65" i="22"/>
  <c r="AK65" i="22"/>
  <c r="AJ65" i="22"/>
  <c r="AI65" i="22"/>
  <c r="AH65" i="22"/>
  <c r="AG65" i="22"/>
  <c r="AF65" i="22"/>
  <c r="AE65" i="22"/>
  <c r="AD65" i="22"/>
  <c r="AC65" i="22"/>
  <c r="AB65" i="22"/>
  <c r="AA65" i="22"/>
  <c r="AL64" i="22"/>
  <c r="AK64" i="22"/>
  <c r="AJ64" i="22"/>
  <c r="AI64" i="22"/>
  <c r="AH64" i="22"/>
  <c r="AG64" i="22"/>
  <c r="AF64" i="22"/>
  <c r="AE64" i="22"/>
  <c r="AD64" i="22"/>
  <c r="AC64" i="22"/>
  <c r="AB64" i="22"/>
  <c r="AA64" i="22"/>
  <c r="AL63" i="22"/>
  <c r="AK63" i="22"/>
  <c r="AJ63" i="22"/>
  <c r="AI63" i="22"/>
  <c r="AH63" i="22"/>
  <c r="AG63" i="22"/>
  <c r="AF63" i="22"/>
  <c r="AE63" i="22"/>
  <c r="AD63" i="22"/>
  <c r="AC63" i="22"/>
  <c r="AB63" i="22"/>
  <c r="AA63" i="22"/>
  <c r="AL62" i="22"/>
  <c r="AK62" i="22"/>
  <c r="AJ62" i="22"/>
  <c r="AI62" i="22"/>
  <c r="AH62" i="22"/>
  <c r="AG62" i="22"/>
  <c r="AF62" i="22"/>
  <c r="AE62" i="22"/>
  <c r="AD62" i="22"/>
  <c r="AC62" i="22"/>
  <c r="AB62" i="22"/>
  <c r="AA62" i="22"/>
  <c r="AL61" i="22"/>
  <c r="AK61" i="22"/>
  <c r="AJ61" i="22"/>
  <c r="AI61" i="22"/>
  <c r="AH61" i="22"/>
  <c r="AG61" i="22"/>
  <c r="AF61" i="22"/>
  <c r="AE61" i="22"/>
  <c r="AD61" i="22"/>
  <c r="AC61" i="22"/>
  <c r="AB61" i="22"/>
  <c r="AA61" i="22"/>
  <c r="AL60" i="22"/>
  <c r="AK60" i="22"/>
  <c r="AJ60" i="22"/>
  <c r="AI60" i="22"/>
  <c r="AH60" i="22"/>
  <c r="AG60" i="22"/>
  <c r="AF60" i="22"/>
  <c r="AD60" i="22"/>
  <c r="AC60" i="22"/>
  <c r="AB60" i="22"/>
  <c r="AA60" i="22"/>
  <c r="AL59" i="22"/>
  <c r="AK59" i="22"/>
  <c r="AJ59" i="22"/>
  <c r="AI59" i="22"/>
  <c r="AH59" i="22"/>
  <c r="AG59" i="22"/>
  <c r="AF59" i="22"/>
  <c r="AE59" i="22"/>
  <c r="AD59" i="22"/>
  <c r="AC59" i="22"/>
  <c r="AB59" i="22"/>
  <c r="AA59" i="22"/>
  <c r="AL58" i="22"/>
  <c r="AK58" i="22"/>
  <c r="AJ58" i="22"/>
  <c r="AI58" i="22"/>
  <c r="AH58" i="22"/>
  <c r="AG58" i="22"/>
  <c r="AF58" i="22"/>
  <c r="AE58" i="22"/>
  <c r="AD58" i="22"/>
  <c r="AC58" i="22"/>
  <c r="AB58" i="22"/>
  <c r="AA58" i="22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AL15" i="22"/>
  <c r="AK15" i="22"/>
  <c r="AJ15" i="22"/>
  <c r="AI15" i="22"/>
  <c r="AH15" i="22"/>
  <c r="AG15" i="22"/>
  <c r="AF15" i="22"/>
  <c r="AE15" i="22"/>
  <c r="AD15" i="22"/>
  <c r="AB15" i="22"/>
  <c r="AA15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AL3" i="22"/>
  <c r="AK3" i="22"/>
  <c r="AJ3" i="22"/>
  <c r="AI3" i="22"/>
  <c r="AH3" i="22"/>
  <c r="AG3" i="22"/>
  <c r="AF3" i="22"/>
  <c r="AE3" i="22"/>
  <c r="AD3" i="22"/>
  <c r="AC3" i="22"/>
  <c r="AB3" i="22"/>
  <c r="R60" i="22" l="1"/>
  <c r="AE60" i="22" s="1"/>
  <c r="P138" i="22"/>
  <c r="AC138" i="22" s="1"/>
  <c r="AL208" i="22"/>
  <c r="AK208" i="22"/>
  <c r="AJ208" i="22"/>
  <c r="AI208" i="22"/>
  <c r="AH208" i="22"/>
  <c r="AG208" i="22"/>
  <c r="AF208" i="22"/>
  <c r="AE208" i="22"/>
  <c r="AD208" i="22"/>
  <c r="AC208" i="22"/>
  <c r="AB208" i="22"/>
  <c r="AA208" i="22"/>
  <c r="O132" i="22"/>
  <c r="AB132" i="22" s="1"/>
  <c r="P330" i="22"/>
  <c r="AC330" i="22" s="1"/>
  <c r="P317" i="22"/>
  <c r="AC317" i="22" s="1"/>
  <c r="P15" i="22"/>
  <c r="AC15" i="22" s="1"/>
  <c r="P319" i="22"/>
  <c r="AC319" i="22" s="1"/>
  <c r="O378" i="22" l="1"/>
  <c r="AB378" i="22" s="1"/>
  <c r="AL285" i="22"/>
  <c r="AI285" i="22"/>
  <c r="AK285" i="22"/>
  <c r="AJ285" i="22"/>
  <c r="AH285" i="22"/>
  <c r="AG285" i="22"/>
  <c r="AF285" i="22"/>
  <c r="AE285" i="22"/>
  <c r="AD285" i="22"/>
  <c r="AC285" i="22"/>
  <c r="AB285" i="22"/>
  <c r="AA285" i="22"/>
  <c r="AA276" i="22"/>
  <c r="AL156" i="22"/>
  <c r="AK156" i="22"/>
  <c r="AJ156" i="22"/>
  <c r="AI156" i="22"/>
  <c r="AH156" i="22"/>
  <c r="AG156" i="22"/>
  <c r="AF156" i="22"/>
  <c r="AE156" i="22"/>
  <c r="AD156" i="22"/>
  <c r="AC156" i="22"/>
  <c r="AB156" i="22"/>
  <c r="AA156" i="22"/>
  <c r="AB42" i="22"/>
  <c r="AC42" i="22"/>
  <c r="AD42" i="22"/>
  <c r="AE42" i="22"/>
  <c r="AF42" i="22"/>
  <c r="AG42" i="22"/>
  <c r="AH42" i="22"/>
  <c r="AI42" i="22"/>
  <c r="AJ42" i="22"/>
  <c r="AK42" i="22"/>
  <c r="AL42" i="22"/>
  <c r="AA42" i="22"/>
  <c r="AA44" i="22"/>
  <c r="AB44" i="22"/>
  <c r="AC44" i="22"/>
  <c r="AD44" i="22"/>
  <c r="AE44" i="22"/>
  <c r="AF44" i="22"/>
  <c r="AG44" i="22"/>
  <c r="AH44" i="22"/>
  <c r="AI44" i="22"/>
  <c r="AJ44" i="22"/>
  <c r="AK44" i="22"/>
  <c r="AL44" i="22"/>
  <c r="AL234" i="22"/>
  <c r="AK234" i="22"/>
  <c r="AJ234" i="22"/>
  <c r="AI234" i="22"/>
  <c r="AH234" i="22"/>
  <c r="AG234" i="22"/>
  <c r="AF234" i="22"/>
  <c r="AE234" i="22"/>
  <c r="AD234" i="22"/>
  <c r="AC234" i="22"/>
  <c r="AB234" i="22"/>
  <c r="AA234" i="22"/>
  <c r="AL236" i="22"/>
  <c r="AK236" i="22"/>
  <c r="AJ236" i="22"/>
  <c r="AI236" i="22"/>
  <c r="AH236" i="22"/>
  <c r="AG236" i="22"/>
  <c r="AF236" i="22"/>
  <c r="AE236" i="22"/>
  <c r="AD236" i="22"/>
  <c r="AC236" i="22"/>
  <c r="AB236" i="22"/>
  <c r="AA236" i="22"/>
  <c r="AL276" i="22" l="1"/>
  <c r="AK276" i="22"/>
  <c r="AJ276" i="22"/>
  <c r="AI276" i="22"/>
  <c r="AH276" i="22"/>
  <c r="AG276" i="22"/>
  <c r="AF276" i="22"/>
  <c r="AE276" i="22"/>
  <c r="AD276" i="22"/>
  <c r="AC276" i="22"/>
  <c r="AB276" i="22"/>
  <c r="N291" i="22"/>
  <c r="AA291" i="22" s="1"/>
  <c r="O279" i="22" l="1"/>
  <c r="AB279" i="22" s="1"/>
  <c r="O278" i="22"/>
  <c r="AB278" i="22" s="1"/>
  <c r="O334" i="22"/>
  <c r="AB334" i="22" s="1"/>
  <c r="N80" i="22" l="1"/>
  <c r="AA80" i="22" s="1"/>
  <c r="AL394" i="22"/>
  <c r="AL263" i="22"/>
  <c r="AL231" i="22"/>
  <c r="AL223" i="22"/>
  <c r="AL215" i="22"/>
  <c r="AL201" i="22"/>
  <c r="AL195" i="22"/>
  <c r="AL181" i="22"/>
  <c r="AL146" i="22"/>
  <c r="AL38" i="22"/>
  <c r="AL19" i="22"/>
  <c r="AK394" i="22"/>
  <c r="AK263" i="22"/>
  <c r="AK231" i="22"/>
  <c r="AK223" i="22"/>
  <c r="AK215" i="22"/>
  <c r="AK201" i="22"/>
  <c r="AK195" i="22"/>
  <c r="AK181" i="22"/>
  <c r="AK146" i="22"/>
  <c r="AK38" i="22"/>
  <c r="AK19" i="22"/>
  <c r="AI394" i="22"/>
  <c r="AI263" i="22"/>
  <c r="AI231" i="22"/>
  <c r="AI223" i="22"/>
  <c r="AI215" i="22"/>
  <c r="AI201" i="22"/>
  <c r="AI195" i="22"/>
  <c r="AI181" i="22"/>
  <c r="AI146" i="22"/>
  <c r="AI38" i="22"/>
  <c r="AI19" i="22"/>
  <c r="AH394" i="22"/>
  <c r="AH263" i="22"/>
  <c r="AH231" i="22"/>
  <c r="AH223" i="22"/>
  <c r="AH215" i="22"/>
  <c r="AH201" i="22"/>
  <c r="AH195" i="22"/>
  <c r="AH181" i="22"/>
  <c r="AH146" i="22"/>
  <c r="AH38" i="22"/>
  <c r="AH19" i="22"/>
  <c r="AH11" i="22"/>
  <c r="AI11" i="22"/>
  <c r="AK11" i="22"/>
  <c r="AL11" i="22"/>
  <c r="N12" i="7" l="1"/>
  <c r="N10" i="7"/>
  <c r="N9" i="7"/>
  <c r="N8" i="7"/>
  <c r="N7" i="7"/>
  <c r="N6" i="7"/>
  <c r="N5" i="7"/>
  <c r="K12" i="7"/>
  <c r="K10" i="7"/>
  <c r="K9" i="7"/>
  <c r="K8" i="7"/>
  <c r="K7" i="7"/>
  <c r="K6" i="7"/>
  <c r="K5" i="7"/>
  <c r="M6" i="7"/>
  <c r="M5" i="7"/>
  <c r="J6" i="7"/>
  <c r="J5" i="7"/>
  <c r="N29" i="7" l="1"/>
  <c r="N40" i="7" s="1"/>
  <c r="K29" i="7"/>
  <c r="K40" i="7" s="1"/>
  <c r="J29" i="7"/>
  <c r="J40" i="7" s="1"/>
  <c r="H29" i="7"/>
  <c r="H40" i="7" s="1"/>
  <c r="E29" i="7"/>
  <c r="E40" i="7" s="1"/>
  <c r="M29" i="7"/>
  <c r="M40" i="7" s="1"/>
  <c r="L7" i="7"/>
  <c r="L29" i="7" s="1"/>
  <c r="L40" i="7" s="1"/>
  <c r="I7" i="7"/>
  <c r="I29" i="7" s="1"/>
  <c r="I40" i="7" s="1"/>
  <c r="G7" i="7"/>
  <c r="G29" i="7" s="1"/>
  <c r="G40" i="7" s="1"/>
  <c r="F7" i="7"/>
  <c r="F29" i="7" s="1"/>
  <c r="F40" i="7" s="1"/>
  <c r="D7" i="7"/>
  <c r="D29" i="7" s="1"/>
  <c r="D40" i="7" s="1"/>
  <c r="C7" i="7"/>
  <c r="C29" i="7" s="1"/>
  <c r="C40" i="7" s="1"/>
  <c r="M19" i="31"/>
  <c r="L19" i="31"/>
  <c r="K19" i="31"/>
  <c r="J19" i="31"/>
  <c r="I19" i="31"/>
  <c r="H19" i="31"/>
  <c r="G19" i="31"/>
  <c r="F19" i="31"/>
  <c r="E19" i="31"/>
  <c r="D19" i="31"/>
  <c r="C19" i="31"/>
  <c r="M18" i="31"/>
  <c r="L18" i="31"/>
  <c r="K18" i="31"/>
  <c r="J18" i="31"/>
  <c r="I18" i="31"/>
  <c r="H18" i="31"/>
  <c r="G18" i="31"/>
  <c r="F18" i="31"/>
  <c r="E18" i="31"/>
  <c r="D18" i="31"/>
  <c r="C18" i="31"/>
  <c r="M17" i="31"/>
  <c r="L17" i="31"/>
  <c r="K17" i="31"/>
  <c r="J17" i="31"/>
  <c r="I17" i="31"/>
  <c r="H17" i="31"/>
  <c r="G17" i="31"/>
  <c r="F17" i="31"/>
  <c r="E17" i="31"/>
  <c r="D17" i="31"/>
  <c r="C17" i="31"/>
  <c r="B19" i="31"/>
  <c r="B18" i="31"/>
  <c r="B17" i="31"/>
  <c r="AJ263" i="22"/>
  <c r="AG263" i="22"/>
  <c r="AF263" i="22"/>
  <c r="AE263" i="22"/>
  <c r="AD263" i="22"/>
  <c r="AC263" i="22"/>
  <c r="AB263" i="22"/>
  <c r="AA263" i="22"/>
  <c r="AJ231" i="22"/>
  <c r="AG231" i="22"/>
  <c r="AF231" i="22"/>
  <c r="AE231" i="22"/>
  <c r="AD231" i="22"/>
  <c r="AC231" i="22"/>
  <c r="AB231" i="22"/>
  <c r="AA231" i="22"/>
  <c r="AJ223" i="22"/>
  <c r="AG223" i="22"/>
  <c r="AF223" i="22"/>
  <c r="AE223" i="22"/>
  <c r="AD223" i="22"/>
  <c r="AC223" i="22"/>
  <c r="AB223" i="22"/>
  <c r="AA223" i="22"/>
  <c r="AJ215" i="22"/>
  <c r="AG215" i="22"/>
  <c r="AF215" i="22"/>
  <c r="AE215" i="22"/>
  <c r="AD215" i="22"/>
  <c r="AC215" i="22"/>
  <c r="AB215" i="22"/>
  <c r="AA215" i="22"/>
  <c r="AJ201" i="22"/>
  <c r="AG201" i="22"/>
  <c r="AF201" i="22"/>
  <c r="AE201" i="22"/>
  <c r="AD201" i="22"/>
  <c r="AC201" i="22"/>
  <c r="AB201" i="22"/>
  <c r="AA201" i="22"/>
  <c r="AJ195" i="22"/>
  <c r="AG195" i="22"/>
  <c r="AF195" i="22"/>
  <c r="AE195" i="22"/>
  <c r="AD195" i="22"/>
  <c r="AC195" i="22"/>
  <c r="AB195" i="22"/>
  <c r="AA195" i="22"/>
  <c r="AF181" i="22"/>
  <c r="AC181" i="22"/>
  <c r="AJ181" i="22"/>
  <c r="AG181" i="22"/>
  <c r="AE181" i="22"/>
  <c r="AD181" i="22"/>
  <c r="AB181" i="22"/>
  <c r="AA181" i="22"/>
  <c r="AF146" i="22"/>
  <c r="AC146" i="22"/>
  <c r="AJ146" i="22"/>
  <c r="AG146" i="22"/>
  <c r="AE146" i="22"/>
  <c r="AD146" i="22"/>
  <c r="AB146" i="22"/>
  <c r="AA146" i="22"/>
  <c r="AC38" i="22"/>
  <c r="AF38" i="22"/>
  <c r="AJ38" i="22"/>
  <c r="AG38" i="22"/>
  <c r="AE38" i="22"/>
  <c r="AD38" i="22"/>
  <c r="AB38" i="22"/>
  <c r="AA38" i="22"/>
  <c r="AF19" i="22"/>
  <c r="AC19" i="22"/>
  <c r="AJ19" i="22"/>
  <c r="AG19" i="22"/>
  <c r="AE19" i="22"/>
  <c r="AD19" i="22"/>
  <c r="AB19" i="22"/>
  <c r="AA19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J206" i="22" l="1"/>
  <c r="AB206" i="22"/>
  <c r="AA206" i="22"/>
  <c r="AI206" i="22"/>
  <c r="AK206" i="22"/>
  <c r="AC206" i="22"/>
  <c r="AD206" i="22"/>
  <c r="AE206" i="22"/>
  <c r="AF206" i="22"/>
  <c r="AG206" i="22"/>
  <c r="AH206" i="22"/>
  <c r="AL206" i="22"/>
  <c r="B25" i="31" l="1"/>
  <c r="B32" i="31" s="1"/>
  <c r="AJ11" i="22"/>
  <c r="AG11" i="22"/>
  <c r="AF11" i="22"/>
  <c r="AE11" i="22"/>
  <c r="AD11" i="22"/>
  <c r="AC11" i="22"/>
  <c r="AB11" i="22"/>
  <c r="AA11" i="22"/>
  <c r="M26" i="31"/>
  <c r="M33" i="31" s="1"/>
  <c r="L26" i="31"/>
  <c r="L33" i="31" s="1"/>
  <c r="K26" i="31"/>
  <c r="K33" i="31" s="1"/>
  <c r="J26" i="31"/>
  <c r="J33" i="31" s="1"/>
  <c r="I26" i="31"/>
  <c r="I33" i="31" s="1"/>
  <c r="H26" i="31"/>
  <c r="H33" i="31" s="1"/>
  <c r="G26" i="31"/>
  <c r="G33" i="31" s="1"/>
  <c r="F26" i="31"/>
  <c r="F33" i="31" s="1"/>
  <c r="E26" i="31"/>
  <c r="E33" i="31" s="1"/>
  <c r="D26" i="31"/>
  <c r="D33" i="31" s="1"/>
  <c r="C26" i="31"/>
  <c r="C33" i="31" s="1"/>
  <c r="B26" i="31"/>
  <c r="B33" i="31" s="1"/>
  <c r="M25" i="31"/>
  <c r="M32" i="31" s="1"/>
  <c r="L25" i="31"/>
  <c r="L32" i="31" s="1"/>
  <c r="K25" i="31"/>
  <c r="K32" i="31" s="1"/>
  <c r="J25" i="31"/>
  <c r="J32" i="31" s="1"/>
  <c r="I25" i="31"/>
  <c r="I32" i="31" s="1"/>
  <c r="H25" i="31"/>
  <c r="H32" i="31" s="1"/>
  <c r="G25" i="31"/>
  <c r="G32" i="31" s="1"/>
  <c r="F25" i="31"/>
  <c r="F32" i="31" s="1"/>
  <c r="E25" i="31"/>
  <c r="E32" i="31" s="1"/>
  <c r="D25" i="31"/>
  <c r="D32" i="31" s="1"/>
  <c r="C25" i="31"/>
  <c r="C32" i="31" s="1"/>
  <c r="I24" i="31"/>
  <c r="H24" i="31"/>
  <c r="G24" i="31"/>
  <c r="F24" i="31"/>
  <c r="AB17" i="22" l="1"/>
  <c r="AJ17" i="22"/>
  <c r="AK17" i="22"/>
  <c r="AL17" i="22"/>
  <c r="AA17" i="22"/>
  <c r="AC17" i="22"/>
  <c r="AD17" i="22"/>
  <c r="AE17" i="22"/>
  <c r="AF17" i="22"/>
  <c r="AG17" i="22"/>
  <c r="AH17" i="22"/>
  <c r="AI17" i="22"/>
  <c r="L20" i="31"/>
  <c r="B20" i="31"/>
  <c r="C20" i="31"/>
  <c r="D20" i="31"/>
  <c r="M20" i="31"/>
  <c r="J20" i="31"/>
  <c r="K20" i="31"/>
  <c r="E20" i="31"/>
  <c r="G31" i="31"/>
  <c r="G34" i="31" s="1"/>
  <c r="G27" i="31"/>
  <c r="F31" i="31"/>
  <c r="F34" i="31" s="1"/>
  <c r="F27" i="31"/>
  <c r="I31" i="31"/>
  <c r="I34" i="31" s="1"/>
  <c r="I27" i="31"/>
  <c r="H31" i="31"/>
  <c r="H34" i="31" s="1"/>
  <c r="H27" i="31"/>
  <c r="L24" i="31"/>
  <c r="I20" i="31"/>
  <c r="F20" i="31"/>
  <c r="B24" i="31"/>
  <c r="J24" i="31"/>
  <c r="G20" i="31"/>
  <c r="C24" i="31"/>
  <c r="K24" i="31"/>
  <c r="H20" i="31"/>
  <c r="D24" i="31"/>
  <c r="M24" i="31"/>
  <c r="E24" i="31"/>
  <c r="K27" i="31" l="1"/>
  <c r="K31" i="31"/>
  <c r="K34" i="31" s="1"/>
  <c r="C27" i="31"/>
  <c r="C31" i="31"/>
  <c r="C34" i="31" s="1"/>
  <c r="J27" i="31"/>
  <c r="J31" i="31"/>
  <c r="J34" i="31" s="1"/>
  <c r="E27" i="31"/>
  <c r="E31" i="31"/>
  <c r="E34" i="31" s="1"/>
  <c r="M27" i="31"/>
  <c r="M31" i="31"/>
  <c r="M34" i="31" s="1"/>
  <c r="B27" i="31"/>
  <c r="B31" i="31"/>
  <c r="B34" i="31" s="1"/>
  <c r="D27" i="31"/>
  <c r="D31" i="31"/>
  <c r="D34" i="31" s="1"/>
  <c r="L27" i="31"/>
  <c r="L31" i="31"/>
  <c r="L34" i="31" s="1"/>
  <c r="AE36" i="22" l="1"/>
  <c r="AA36" i="22"/>
  <c r="AC36" i="22"/>
  <c r="AK36" i="22"/>
  <c r="AD36" i="22"/>
  <c r="AF36" i="22"/>
  <c r="AG36" i="22"/>
  <c r="AH36" i="22"/>
  <c r="AB36" i="22"/>
  <c r="AJ36" i="22"/>
  <c r="AI36" i="22"/>
  <c r="AL36" i="22"/>
  <c r="AJ394" i="22"/>
  <c r="AG394" i="22"/>
  <c r="AF394" i="22"/>
  <c r="AE394" i="22"/>
  <c r="AD394" i="22"/>
  <c r="AC394" i="22"/>
  <c r="AB394" i="22"/>
  <c r="AA394" i="22"/>
  <c r="AB283" i="22" l="1"/>
  <c r="AJ283" i="22"/>
  <c r="AC283" i="22"/>
  <c r="AD283" i="22"/>
  <c r="AE283" i="22"/>
  <c r="AG283" i="22"/>
  <c r="AH283" i="22"/>
  <c r="AI283" i="22"/>
  <c r="AA283" i="22"/>
  <c r="AK283" i="22"/>
  <c r="AL283" i="22"/>
  <c r="AF283" i="22"/>
  <c r="N34" i="7" l="1"/>
  <c r="N45" i="7" s="1"/>
  <c r="N50" i="7" s="1"/>
  <c r="K34" i="7"/>
  <c r="K45" i="7" s="1"/>
  <c r="J34" i="7"/>
  <c r="J45" i="7" s="1"/>
  <c r="H34" i="7"/>
  <c r="H45" i="7" s="1"/>
  <c r="E34" i="7"/>
  <c r="E45" i="7" s="1"/>
  <c r="N33" i="7"/>
  <c r="N44" i="7" s="1"/>
  <c r="M33" i="7"/>
  <c r="M44" i="7" s="1"/>
  <c r="L33" i="7"/>
  <c r="L44" i="7" s="1"/>
  <c r="K33" i="7"/>
  <c r="K44" i="7" s="1"/>
  <c r="J33" i="7"/>
  <c r="J44" i="7" s="1"/>
  <c r="I33" i="7"/>
  <c r="I44" i="7" s="1"/>
  <c r="H33" i="7"/>
  <c r="H44" i="7" s="1"/>
  <c r="G33" i="7"/>
  <c r="G44" i="7" s="1"/>
  <c r="F33" i="7"/>
  <c r="F44" i="7" s="1"/>
  <c r="E33" i="7"/>
  <c r="E44" i="7" s="1"/>
  <c r="D33" i="7"/>
  <c r="D44" i="7" s="1"/>
  <c r="C33" i="7"/>
  <c r="C44" i="7" s="1"/>
  <c r="N32" i="7"/>
  <c r="N43" i="7" s="1"/>
  <c r="K32" i="7"/>
  <c r="K43" i="7" s="1"/>
  <c r="J32" i="7"/>
  <c r="J43" i="7" s="1"/>
  <c r="H32" i="7"/>
  <c r="H43" i="7" s="1"/>
  <c r="E32" i="7"/>
  <c r="E43" i="7" s="1"/>
  <c r="N31" i="7"/>
  <c r="N42" i="7" s="1"/>
  <c r="K31" i="7"/>
  <c r="K42" i="7" s="1"/>
  <c r="J31" i="7"/>
  <c r="J42" i="7" s="1"/>
  <c r="H31" i="7"/>
  <c r="H42" i="7" s="1"/>
  <c r="E31" i="7"/>
  <c r="E42" i="7" s="1"/>
  <c r="N30" i="7"/>
  <c r="N41" i="7" s="1"/>
  <c r="K30" i="7"/>
  <c r="K41" i="7" s="1"/>
  <c r="J30" i="7"/>
  <c r="J41" i="7" s="1"/>
  <c r="H30" i="7"/>
  <c r="H41" i="7" s="1"/>
  <c r="E30" i="7"/>
  <c r="E41" i="7" s="1"/>
  <c r="J28" i="7"/>
  <c r="J39" i="7" s="1"/>
  <c r="M27" i="7"/>
  <c r="M38" i="7" s="1"/>
  <c r="M46" i="7" s="1"/>
  <c r="J27" i="7"/>
  <c r="J38" i="7" s="1"/>
  <c r="J46" i="7" s="1"/>
  <c r="M34" i="7"/>
  <c r="M45" i="7" s="1"/>
  <c r="L12" i="7"/>
  <c r="L34" i="7" s="1"/>
  <c r="L45" i="7" s="1"/>
  <c r="I12" i="7"/>
  <c r="I34" i="7" s="1"/>
  <c r="I45" i="7" s="1"/>
  <c r="G12" i="7"/>
  <c r="G34" i="7" s="1"/>
  <c r="G45" i="7" s="1"/>
  <c r="F12" i="7"/>
  <c r="F34" i="7" s="1"/>
  <c r="F45" i="7" s="1"/>
  <c r="D12" i="7"/>
  <c r="D34" i="7" s="1"/>
  <c r="D45" i="7" s="1"/>
  <c r="C12" i="7"/>
  <c r="C34" i="7" s="1"/>
  <c r="C45" i="7" s="1"/>
  <c r="M32" i="7"/>
  <c r="M43" i="7" s="1"/>
  <c r="L10" i="7"/>
  <c r="L32" i="7" s="1"/>
  <c r="L43" i="7" s="1"/>
  <c r="I10" i="7"/>
  <c r="I32" i="7" s="1"/>
  <c r="I43" i="7" s="1"/>
  <c r="G10" i="7"/>
  <c r="G32" i="7" s="1"/>
  <c r="G43" i="7" s="1"/>
  <c r="F10" i="7"/>
  <c r="F32" i="7" s="1"/>
  <c r="F43" i="7" s="1"/>
  <c r="D10" i="7"/>
  <c r="D32" i="7" s="1"/>
  <c r="D43" i="7" s="1"/>
  <c r="C10" i="7"/>
  <c r="C32" i="7" s="1"/>
  <c r="C43" i="7" s="1"/>
  <c r="M31" i="7"/>
  <c r="M42" i="7" s="1"/>
  <c r="L9" i="7"/>
  <c r="L31" i="7" s="1"/>
  <c r="L42" i="7" s="1"/>
  <c r="I9" i="7"/>
  <c r="I31" i="7" s="1"/>
  <c r="I42" i="7" s="1"/>
  <c r="G9" i="7"/>
  <c r="G31" i="7" s="1"/>
  <c r="G42" i="7" s="1"/>
  <c r="F9" i="7"/>
  <c r="F31" i="7" s="1"/>
  <c r="F42" i="7" s="1"/>
  <c r="D9" i="7"/>
  <c r="D31" i="7" s="1"/>
  <c r="D42" i="7" s="1"/>
  <c r="C9" i="7"/>
  <c r="C31" i="7" s="1"/>
  <c r="C42" i="7" s="1"/>
  <c r="M30" i="7"/>
  <c r="M41" i="7" s="1"/>
  <c r="L8" i="7"/>
  <c r="L30" i="7" s="1"/>
  <c r="L41" i="7" s="1"/>
  <c r="I8" i="7"/>
  <c r="I30" i="7" s="1"/>
  <c r="I41" i="7" s="1"/>
  <c r="G8" i="7"/>
  <c r="G30" i="7" s="1"/>
  <c r="G41" i="7" s="1"/>
  <c r="F8" i="7"/>
  <c r="F30" i="7" s="1"/>
  <c r="F41" i="7" s="1"/>
  <c r="D8" i="7"/>
  <c r="D30" i="7" s="1"/>
  <c r="D41" i="7" s="1"/>
  <c r="C8" i="7"/>
  <c r="C30" i="7" s="1"/>
  <c r="C41" i="7" s="1"/>
  <c r="N28" i="7"/>
  <c r="N39" i="7" s="1"/>
  <c r="M28" i="7"/>
  <c r="M39" i="7" s="1"/>
  <c r="L6" i="7"/>
  <c r="L28" i="7" s="1"/>
  <c r="L39" i="7" s="1"/>
  <c r="K28" i="7"/>
  <c r="K39" i="7" s="1"/>
  <c r="I6" i="7"/>
  <c r="I28" i="7" s="1"/>
  <c r="I39" i="7" s="1"/>
  <c r="H6" i="7"/>
  <c r="H28" i="7" s="1"/>
  <c r="H39" i="7" s="1"/>
  <c r="G6" i="7"/>
  <c r="G28" i="7" s="1"/>
  <c r="G39" i="7" s="1"/>
  <c r="F6" i="7"/>
  <c r="F28" i="7" s="1"/>
  <c r="F39" i="7" s="1"/>
  <c r="E6" i="7"/>
  <c r="E28" i="7" s="1"/>
  <c r="E39" i="7" s="1"/>
  <c r="D6" i="7"/>
  <c r="D28" i="7" s="1"/>
  <c r="D39" i="7" s="1"/>
  <c r="C6" i="7"/>
  <c r="C28" i="7" s="1"/>
  <c r="C39" i="7" s="1"/>
  <c r="N27" i="7"/>
  <c r="N38" i="7" s="1"/>
  <c r="N46" i="7" s="1"/>
  <c r="L5" i="7"/>
  <c r="L27" i="7" s="1"/>
  <c r="L38" i="7" s="1"/>
  <c r="L46" i="7" s="1"/>
  <c r="K27" i="7"/>
  <c r="K38" i="7" s="1"/>
  <c r="K46" i="7" s="1"/>
  <c r="I5" i="7"/>
  <c r="I27" i="7" s="1"/>
  <c r="I38" i="7" s="1"/>
  <c r="I46" i="7" s="1"/>
  <c r="H5" i="7"/>
  <c r="H27" i="7" s="1"/>
  <c r="H38" i="7" s="1"/>
  <c r="H46" i="7" s="1"/>
  <c r="G5" i="7"/>
  <c r="G27" i="7" s="1"/>
  <c r="G38" i="7" s="1"/>
  <c r="G46" i="7" s="1"/>
  <c r="F5" i="7"/>
  <c r="F27" i="7" s="1"/>
  <c r="F38" i="7" s="1"/>
  <c r="F46" i="7" s="1"/>
  <c r="E5" i="7"/>
  <c r="E27" i="7" s="1"/>
  <c r="E38" i="7" s="1"/>
  <c r="E46" i="7" s="1"/>
  <c r="D5" i="7"/>
  <c r="D27" i="7" s="1"/>
  <c r="D38" i="7" s="1"/>
  <c r="D46" i="7" s="1"/>
  <c r="C5" i="7"/>
  <c r="C27" i="7" s="1"/>
  <c r="C38" i="7" s="1"/>
  <c r="C46" i="7" s="1"/>
  <c r="AL154" i="22"/>
  <c r="AK154" i="22"/>
  <c r="AJ154" i="22"/>
  <c r="AI154" i="22"/>
  <c r="AH154" i="22"/>
  <c r="AG154" i="22"/>
  <c r="AF154" i="22"/>
  <c r="AE154" i="22"/>
  <c r="AD154" i="22"/>
  <c r="AC154" i="22"/>
  <c r="AB154" i="22"/>
  <c r="AA154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AA221" i="22"/>
  <c r="AA3" i="22"/>
  <c r="F47" i="7" l="1"/>
  <c r="F56" i="7"/>
  <c r="N47" i="7"/>
  <c r="N56" i="7"/>
  <c r="G47" i="7"/>
  <c r="G56" i="7"/>
  <c r="H47" i="7"/>
  <c r="H56" i="7"/>
  <c r="I47" i="7"/>
  <c r="I56" i="7"/>
  <c r="K47" i="7"/>
  <c r="K56" i="7"/>
  <c r="E47" i="7"/>
  <c r="E56" i="7"/>
  <c r="C47" i="7"/>
  <c r="C56" i="7"/>
  <c r="L47" i="7"/>
  <c r="L56" i="7"/>
  <c r="D47" i="7"/>
  <c r="D56" i="7"/>
  <c r="M47" i="7"/>
  <c r="M56" i="7"/>
  <c r="J47" i="7"/>
  <c r="J56" i="7"/>
  <c r="AB274" i="22"/>
  <c r="AJ274" i="22"/>
  <c r="AA274" i="22"/>
  <c r="AC274" i="22"/>
  <c r="AK274" i="22"/>
  <c r="AI274" i="22"/>
  <c r="AH392" i="22"/>
  <c r="AD274" i="22"/>
  <c r="AH274" i="22"/>
  <c r="AL274" i="22"/>
  <c r="AF274" i="22"/>
  <c r="AE274" i="22"/>
  <c r="AG274" i="22"/>
  <c r="AF392" i="22"/>
  <c r="AG392" i="22"/>
  <c r="AJ392" i="22"/>
  <c r="AL392" i="22"/>
  <c r="AA392" i="22"/>
  <c r="AD392" i="22"/>
  <c r="AE392" i="22"/>
  <c r="AI392" i="22"/>
  <c r="AB392" i="22"/>
  <c r="AC392" i="22"/>
  <c r="AK392" i="22"/>
  <c r="AA179" i="22"/>
  <c r="AE221" i="22"/>
  <c r="AE213" i="22"/>
  <c r="AJ144" i="22"/>
  <c r="AF193" i="22"/>
  <c r="AB261" i="22"/>
  <c r="AJ261" i="22"/>
  <c r="AB179" i="22"/>
  <c r="AF213" i="22"/>
  <c r="AJ179" i="22"/>
  <c r="AF221" i="22"/>
  <c r="AC261" i="22"/>
  <c r="AG213" i="22"/>
  <c r="AK144" i="22"/>
  <c r="AG193" i="22"/>
  <c r="C48" i="7"/>
  <c r="C54" i="7"/>
  <c r="C55" i="7"/>
  <c r="F49" i="7"/>
  <c r="F53" i="7"/>
  <c r="F73" i="7" s="1"/>
  <c r="F52" i="7"/>
  <c r="H48" i="7"/>
  <c r="H54" i="7"/>
  <c r="H55" i="7"/>
  <c r="D48" i="7"/>
  <c r="D55" i="7"/>
  <c r="D54" i="7"/>
  <c r="G49" i="7"/>
  <c r="G53" i="7"/>
  <c r="G73" i="7" s="1"/>
  <c r="G52" i="7"/>
  <c r="J48" i="7"/>
  <c r="J55" i="7"/>
  <c r="J54" i="7"/>
  <c r="E49" i="7"/>
  <c r="E53" i="7"/>
  <c r="E73" i="7" s="1"/>
  <c r="E52" i="7"/>
  <c r="F48" i="7"/>
  <c r="F55" i="7"/>
  <c r="F54" i="7"/>
  <c r="I49" i="7"/>
  <c r="I52" i="7"/>
  <c r="I53" i="7"/>
  <c r="I73" i="7" s="1"/>
  <c r="K48" i="7"/>
  <c r="K54" i="7"/>
  <c r="K55" i="7"/>
  <c r="H49" i="7"/>
  <c r="H52" i="7"/>
  <c r="H53" i="7"/>
  <c r="H73" i="7" s="1"/>
  <c r="D49" i="7"/>
  <c r="D53" i="7"/>
  <c r="D73" i="7" s="1"/>
  <c r="D52" i="7"/>
  <c r="G48" i="7"/>
  <c r="G54" i="7"/>
  <c r="G55" i="7"/>
  <c r="L49" i="7"/>
  <c r="L53" i="7"/>
  <c r="L73" i="7" s="1"/>
  <c r="L52" i="7"/>
  <c r="N48" i="7"/>
  <c r="N55" i="7"/>
  <c r="N54" i="7"/>
  <c r="J49" i="7"/>
  <c r="J52" i="7"/>
  <c r="J53" i="7"/>
  <c r="J73" i="7" s="1"/>
  <c r="E48" i="7"/>
  <c r="E55" i="7"/>
  <c r="E54" i="7"/>
  <c r="I48" i="7"/>
  <c r="I54" i="7"/>
  <c r="I55" i="7"/>
  <c r="M49" i="7"/>
  <c r="M53" i="7"/>
  <c r="M73" i="7" s="1"/>
  <c r="M52" i="7"/>
  <c r="K49" i="7"/>
  <c r="K53" i="7"/>
  <c r="K73" i="7" s="1"/>
  <c r="K52" i="7"/>
  <c r="L48" i="7"/>
  <c r="L55" i="7"/>
  <c r="L54" i="7"/>
  <c r="N49" i="7"/>
  <c r="N53" i="7"/>
  <c r="N73" i="7" s="1"/>
  <c r="N52" i="7"/>
  <c r="M48" i="7"/>
  <c r="M54" i="7"/>
  <c r="M55" i="7"/>
  <c r="C49" i="7"/>
  <c r="C53" i="7"/>
  <c r="C73" i="7" s="1"/>
  <c r="C52" i="7"/>
  <c r="AK261" i="22"/>
  <c r="AC179" i="22"/>
  <c r="AG221" i="22"/>
  <c r="AK179" i="22"/>
  <c r="AI179" i="22"/>
  <c r="AH193" i="22"/>
  <c r="AD261" i="22"/>
  <c r="AD179" i="22"/>
  <c r="AH221" i="22"/>
  <c r="AH213" i="22"/>
  <c r="AE193" i="22"/>
  <c r="AE179" i="22"/>
  <c r="AI221" i="22"/>
  <c r="AA213" i="22"/>
  <c r="AI213" i="22"/>
  <c r="AA193" i="22"/>
  <c r="AI193" i="22"/>
  <c r="AE261" i="22"/>
  <c r="AB193" i="22"/>
  <c r="AJ193" i="22"/>
  <c r="AF261" i="22"/>
  <c r="AF179" i="22"/>
  <c r="AB221" i="22"/>
  <c r="AJ221" i="22"/>
  <c r="AB213" i="22"/>
  <c r="AJ213" i="22"/>
  <c r="AI261" i="22"/>
  <c r="AG261" i="22"/>
  <c r="AC221" i="22"/>
  <c r="AK221" i="22"/>
  <c r="AC213" i="22"/>
  <c r="AK213" i="22"/>
  <c r="AA261" i="22"/>
  <c r="AC193" i="22"/>
  <c r="AK193" i="22"/>
  <c r="AG179" i="22"/>
  <c r="AD193" i="22"/>
  <c r="AH261" i="22"/>
  <c r="AH179" i="22"/>
  <c r="AD221" i="22"/>
  <c r="AD213" i="22"/>
  <c r="AE144" i="22"/>
  <c r="AB229" i="22"/>
  <c r="AF144" i="22"/>
  <c r="AA229" i="22"/>
  <c r="AD9" i="22"/>
  <c r="AD144" i="22"/>
  <c r="AH144" i="22"/>
  <c r="AC229" i="22"/>
  <c r="AB144" i="22"/>
  <c r="AC9" i="22"/>
  <c r="AD229" i="22"/>
  <c r="AE229" i="22"/>
  <c r="AF229" i="22"/>
  <c r="AG229" i="22"/>
  <c r="AA144" i="22"/>
  <c r="AG144" i="22"/>
  <c r="AH229" i="22"/>
  <c r="AC144" i="22"/>
  <c r="AI229" i="22"/>
  <c r="AJ229" i="22"/>
  <c r="AK229" i="22"/>
  <c r="AE9" i="22"/>
  <c r="AA9" i="22"/>
  <c r="AF9" i="22"/>
  <c r="AG9" i="22"/>
  <c r="AH9" i="22"/>
  <c r="AI9" i="22"/>
  <c r="AB9" i="22"/>
  <c r="AJ9" i="22"/>
  <c r="AK9" i="22"/>
  <c r="AL261" i="22"/>
  <c r="AL213" i="22"/>
  <c r="AL179" i="22"/>
  <c r="AL221" i="22"/>
  <c r="AL199" i="22"/>
  <c r="AL193" i="22"/>
  <c r="AL144" i="22"/>
  <c r="AL229" i="22"/>
  <c r="AL9" i="22"/>
  <c r="C51" i="7"/>
  <c r="C50" i="7"/>
  <c r="D51" i="7"/>
  <c r="D50" i="7"/>
  <c r="K51" i="7"/>
  <c r="K50" i="7"/>
  <c r="L51" i="7"/>
  <c r="L50" i="7"/>
  <c r="M51" i="7"/>
  <c r="M50" i="7"/>
  <c r="N51" i="7"/>
  <c r="F51" i="7"/>
  <c r="F50" i="7"/>
  <c r="G50" i="7"/>
  <c r="G51" i="7"/>
  <c r="H51" i="7"/>
  <c r="H50" i="7"/>
  <c r="J51" i="7"/>
  <c r="J50" i="7"/>
  <c r="I51" i="7"/>
  <c r="I50" i="7"/>
  <c r="E50" i="7"/>
  <c r="E51" i="7"/>
  <c r="AI144" i="22"/>
  <c r="H66" i="7" l="1"/>
  <c r="H72" i="7"/>
  <c r="J72" i="7"/>
  <c r="J66" i="7"/>
  <c r="C72" i="7"/>
  <c r="C66" i="7"/>
  <c r="G71" i="7"/>
  <c r="G70" i="7"/>
  <c r="G67" i="7"/>
  <c r="F71" i="7"/>
  <c r="F70" i="7"/>
  <c r="F67" i="7"/>
  <c r="H71" i="7"/>
  <c r="H70" i="7"/>
  <c r="H67" i="7"/>
  <c r="M72" i="7"/>
  <c r="M66" i="7"/>
  <c r="L70" i="7"/>
  <c r="L71" i="7"/>
  <c r="L67" i="7"/>
  <c r="I71" i="7"/>
  <c r="I70" i="7"/>
  <c r="I67" i="7"/>
  <c r="K70" i="7"/>
  <c r="K67" i="7"/>
  <c r="K71" i="7"/>
  <c r="G72" i="7"/>
  <c r="G66" i="7"/>
  <c r="L72" i="7"/>
  <c r="L66" i="7"/>
  <c r="N71" i="7"/>
  <c r="N70" i="7"/>
  <c r="N67" i="7"/>
  <c r="E72" i="7"/>
  <c r="E66" i="7"/>
  <c r="N72" i="7"/>
  <c r="N66" i="7"/>
  <c r="J71" i="7"/>
  <c r="J67" i="7"/>
  <c r="J70" i="7"/>
  <c r="F66" i="7"/>
  <c r="F72" i="7"/>
  <c r="K72" i="7"/>
  <c r="K66" i="7"/>
  <c r="D72" i="7"/>
  <c r="D66" i="7"/>
  <c r="I72" i="7"/>
  <c r="I66" i="7"/>
  <c r="D70" i="7"/>
  <c r="D71" i="7"/>
  <c r="D67" i="7"/>
  <c r="C70" i="7"/>
  <c r="C71" i="7"/>
  <c r="C67" i="7"/>
  <c r="M70" i="7"/>
  <c r="M71" i="7"/>
  <c r="M67" i="7"/>
  <c r="E70" i="7"/>
  <c r="E67" i="7"/>
  <c r="E71" i="7"/>
</calcChain>
</file>

<file path=xl/sharedStrings.xml><?xml version="1.0" encoding="utf-8"?>
<sst xmlns="http://schemas.openxmlformats.org/spreadsheetml/2006/main" count="4788" uniqueCount="1229">
  <si>
    <t>Row Labels</t>
  </si>
  <si>
    <t>GDC</t>
  </si>
  <si>
    <t>NonGDC</t>
  </si>
  <si>
    <t>Subs</t>
  </si>
  <si>
    <t>Broker Uplift</t>
  </si>
  <si>
    <t>Expenses</t>
  </si>
  <si>
    <t>Standby</t>
  </si>
  <si>
    <t>Grand Total</t>
  </si>
  <si>
    <t>IPPF Input - Reallocation</t>
  </si>
  <si>
    <t>Domestic - delivery labor</t>
  </si>
  <si>
    <t>Off shore (CIC) - GDC</t>
  </si>
  <si>
    <t>Non billable Expenses</t>
  </si>
  <si>
    <t>IPPF Input - Rounded</t>
  </si>
  <si>
    <t>IPPF Input - Text</t>
  </si>
  <si>
    <t>Pcode</t>
  </si>
  <si>
    <t>Emp ID</t>
  </si>
  <si>
    <t>Resource full name</t>
  </si>
  <si>
    <t>Emp Country</t>
  </si>
  <si>
    <t>Blue Page Location</t>
  </si>
  <si>
    <t>Band</t>
  </si>
  <si>
    <t>Manager</t>
  </si>
  <si>
    <t>Team</t>
  </si>
  <si>
    <t>Category</t>
  </si>
  <si>
    <t>IPPF Category</t>
  </si>
  <si>
    <t>Comments</t>
  </si>
  <si>
    <t>Corporate</t>
  </si>
  <si>
    <t>P6TYZ</t>
  </si>
  <si>
    <t>003JQA</t>
  </si>
  <si>
    <t>Harish Venkata Menta</t>
  </si>
  <si>
    <t>India</t>
  </si>
  <si>
    <t>Bangalore</t>
  </si>
  <si>
    <t>7B</t>
  </si>
  <si>
    <t>Saumen Mondal</t>
  </si>
  <si>
    <t>ECM</t>
  </si>
  <si>
    <t>GDC Labor</t>
  </si>
  <si>
    <t>Pune</t>
  </si>
  <si>
    <t>7A</t>
  </si>
  <si>
    <t>003L3W</t>
  </si>
  <si>
    <t>Piyush Kumar</t>
  </si>
  <si>
    <t>Noida</t>
  </si>
  <si>
    <t>0226C7</t>
  </si>
  <si>
    <t>Kolkata</t>
  </si>
  <si>
    <t>002OMG</t>
  </si>
  <si>
    <t>DIPTI BALKRISHNA MESHRAM</t>
  </si>
  <si>
    <t>6A</t>
  </si>
  <si>
    <t>Mukul Koranne</t>
  </si>
  <si>
    <t>SAP Security</t>
  </si>
  <si>
    <t>003WIB</t>
  </si>
  <si>
    <t>Gopi Chand</t>
  </si>
  <si>
    <t>Hyderabad</t>
  </si>
  <si>
    <t>Bhubaneswar</t>
  </si>
  <si>
    <t>002N3W</t>
  </si>
  <si>
    <t>Alekhya Kanakala</t>
  </si>
  <si>
    <t>08993B</t>
  </si>
  <si>
    <t>Abhay B Mishal</t>
  </si>
  <si>
    <t>Sudheer</t>
  </si>
  <si>
    <t>SAP Management</t>
  </si>
  <si>
    <t>002ODP</t>
  </si>
  <si>
    <t>00222U</t>
  </si>
  <si>
    <t>Bhajanthri Gokul</t>
  </si>
  <si>
    <t>6B</t>
  </si>
  <si>
    <t>Prashant Kiran</t>
  </si>
  <si>
    <t>004GHA</t>
  </si>
  <si>
    <t>Santosh Prasad</t>
  </si>
  <si>
    <t>000E9S</t>
  </si>
  <si>
    <t>Priyanka voorella</t>
  </si>
  <si>
    <t>147917</t>
  </si>
  <si>
    <t>BENNISON M. PAZ</t>
  </si>
  <si>
    <t>PH</t>
  </si>
  <si>
    <t>Philippines</t>
  </si>
  <si>
    <t>002XQB</t>
  </si>
  <si>
    <t>Padmavathi Katta</t>
  </si>
  <si>
    <t>Landed</t>
  </si>
  <si>
    <t>Canada</t>
  </si>
  <si>
    <t>Non GDC Labor</t>
  </si>
  <si>
    <t>0047ZX</t>
  </si>
  <si>
    <t>Naresh Chintala</t>
  </si>
  <si>
    <t>005ADA</t>
  </si>
  <si>
    <t>Manmayee Maharana</t>
  </si>
  <si>
    <t>06436F</t>
  </si>
  <si>
    <t>Satyanarayana Patharlapalli</t>
  </si>
  <si>
    <t>SVRDMC</t>
  </si>
  <si>
    <t>Aachal Rajendra Kadam</t>
  </si>
  <si>
    <t>SVRC3X</t>
  </si>
  <si>
    <t>Umesh Anshabapu Bhangade</t>
  </si>
  <si>
    <t>03878N</t>
  </si>
  <si>
    <t>Shovan Mandal</t>
  </si>
  <si>
    <t>000OTZ</t>
  </si>
  <si>
    <t>Anusha Math</t>
  </si>
  <si>
    <t>P6TY0</t>
  </si>
  <si>
    <t>PUNE</t>
  </si>
  <si>
    <t>Abhay Mishal</t>
  </si>
  <si>
    <t>Persistent</t>
  </si>
  <si>
    <t>RAK00</t>
  </si>
  <si>
    <t>Shaik Adam Riyazudeen (ServiceNow)</t>
  </si>
  <si>
    <t>Manage People</t>
  </si>
  <si>
    <t>002KQV</t>
  </si>
  <si>
    <t>Challa Pavan Kumar</t>
  </si>
  <si>
    <t>004K5O</t>
  </si>
  <si>
    <t>Ashi Gupta</t>
  </si>
  <si>
    <t>Chennai</t>
  </si>
  <si>
    <t>6G</t>
  </si>
  <si>
    <t>004SC0</t>
  </si>
  <si>
    <t>Lovish L</t>
  </si>
  <si>
    <t>000AUI</t>
  </si>
  <si>
    <t>Jyoti Powar</t>
  </si>
  <si>
    <t>P102C5</t>
  </si>
  <si>
    <t>004MPB</t>
  </si>
  <si>
    <t xml:space="preserve">Ishita Aggarwal </t>
  </si>
  <si>
    <t>Ashutosh Mishra</t>
  </si>
  <si>
    <t>0D8640</t>
  </si>
  <si>
    <t>Mohammad Khalid</t>
  </si>
  <si>
    <t>Local</t>
  </si>
  <si>
    <t>Mohd Saifi Khan</t>
  </si>
  <si>
    <t>04699D</t>
  </si>
  <si>
    <t>ANOOJA GIRIJAKUMARI (ServiceNow)</t>
  </si>
  <si>
    <t>P101AC</t>
  </si>
  <si>
    <t>Genna De Guzman (ServiceNow)</t>
  </si>
  <si>
    <t>P101BX</t>
  </si>
  <si>
    <t>Elizar Manalansan Jr/Philippines/IBM</t>
  </si>
  <si>
    <t>Coimbatore</t>
  </si>
  <si>
    <t>RAK0J</t>
  </si>
  <si>
    <t xml:space="preserve">Operate Maintain and Improve Facilities </t>
  </si>
  <si>
    <t>002BPK</t>
  </si>
  <si>
    <t>Anjali Kadariya</t>
  </si>
  <si>
    <t>Prashant Kayangude</t>
  </si>
  <si>
    <t>Manage Supply and Products - STO</t>
  </si>
  <si>
    <t>Manage Goods and Services</t>
  </si>
  <si>
    <t>Sudhakar Kumar</t>
  </si>
  <si>
    <t>Acquire Design and Construct Facilities</t>
  </si>
  <si>
    <t>00082T</t>
  </si>
  <si>
    <t>Sugyani Behera</t>
  </si>
  <si>
    <t>102395</t>
  </si>
  <si>
    <t>Arturo Jr A. ABAT</t>
  </si>
  <si>
    <t>Atul Mulay</t>
  </si>
  <si>
    <t>Manage Financial Resources</t>
  </si>
  <si>
    <t>Yogesh Mishra</t>
  </si>
  <si>
    <t>Bypa Sushma Rao</t>
  </si>
  <si>
    <t>Manage Supply and Products - SAP</t>
  </si>
  <si>
    <t>Dileep Kumar Vattipalli</t>
  </si>
  <si>
    <t>Devlopment</t>
  </si>
  <si>
    <t>002P6J</t>
  </si>
  <si>
    <t>Karimulla Mahammad</t>
  </si>
  <si>
    <t>0034ZB</t>
  </si>
  <si>
    <t>Shamik Das</t>
  </si>
  <si>
    <t>0B7777</t>
  </si>
  <si>
    <t>Dinesh Choudhari</t>
  </si>
  <si>
    <t>Basis &amp; Monitoring</t>
  </si>
  <si>
    <t>Belfin Vincent</t>
  </si>
  <si>
    <t>Cloud Mgmt &amp; BTP</t>
  </si>
  <si>
    <t>002ZWI</t>
  </si>
  <si>
    <t>Freni Rodrigo</t>
  </si>
  <si>
    <t>002QZK</t>
  </si>
  <si>
    <t>Prabeer Panda</t>
  </si>
  <si>
    <t>134845</t>
  </si>
  <si>
    <t>Fritzel Merla A FERNANDEZ</t>
  </si>
  <si>
    <t>Gedela Maanasa</t>
  </si>
  <si>
    <t>0055VW</t>
  </si>
  <si>
    <t>Pritam Saha</t>
  </si>
  <si>
    <t>002XBU</t>
  </si>
  <si>
    <t xml:space="preserve">Abhishek Deulgaonkar </t>
  </si>
  <si>
    <t>004QN3</t>
  </si>
  <si>
    <t>Abilesh Kumar</t>
  </si>
  <si>
    <t>000CYY</t>
  </si>
  <si>
    <t>Kiran Khuswaha</t>
  </si>
  <si>
    <t>002DQG</t>
  </si>
  <si>
    <t>Mohammad Sameer</t>
  </si>
  <si>
    <t>004FLW</t>
  </si>
  <si>
    <t>Sativada Vijay Kumar</t>
  </si>
  <si>
    <t>Manage Supply and Products - S2P</t>
  </si>
  <si>
    <t>003DSC</t>
  </si>
  <si>
    <t>Binaya Pradhan</t>
  </si>
  <si>
    <t>004JEE</t>
  </si>
  <si>
    <t>Vineet Arora</t>
  </si>
  <si>
    <t>005BG7</t>
  </si>
  <si>
    <t>Kiran Madapura</t>
  </si>
  <si>
    <t>003YGN</t>
  </si>
  <si>
    <t>Ranjith Lingam</t>
  </si>
  <si>
    <t>003YFS</t>
  </si>
  <si>
    <t>Lalitha Chennangod</t>
  </si>
  <si>
    <t>148231</t>
  </si>
  <si>
    <t>MARIA ZIA C. BULICATIN</t>
  </si>
  <si>
    <t>479876</t>
  </si>
  <si>
    <t>MOHAMMAD KHIZER</t>
  </si>
  <si>
    <t>002X3T</t>
  </si>
  <si>
    <t>Mohit Tyagi</t>
  </si>
  <si>
    <t>01648S</t>
  </si>
  <si>
    <t>Mrugali Mahajan</t>
  </si>
  <si>
    <t>004EVC</t>
  </si>
  <si>
    <t>Karthikeyan K</t>
  </si>
  <si>
    <t>004SIG</t>
  </si>
  <si>
    <t>Gurgaon</t>
  </si>
  <si>
    <t>005A0R</t>
  </si>
  <si>
    <t>Mukul Kumar</t>
  </si>
  <si>
    <t>004BQK</t>
  </si>
  <si>
    <t>Gottumukkala Sindhu</t>
  </si>
  <si>
    <t>05809X</t>
  </si>
  <si>
    <t>Naga Gannamaneni</t>
  </si>
  <si>
    <t>005BRK</t>
  </si>
  <si>
    <t>Saurabh Dange</t>
  </si>
  <si>
    <t>0048SF</t>
  </si>
  <si>
    <t>Barsha Das</t>
  </si>
  <si>
    <t>Ahmedabad</t>
  </si>
  <si>
    <t>0059OE</t>
  </si>
  <si>
    <t>Dhanraj Pille</t>
  </si>
  <si>
    <t>0058JV</t>
  </si>
  <si>
    <t>Tharun Kumar</t>
  </si>
  <si>
    <t>Narasareddy Kuppireddy</t>
  </si>
  <si>
    <t>Reporting</t>
  </si>
  <si>
    <t>0F1955</t>
  </si>
  <si>
    <t>Gaddam Nagaraju</t>
  </si>
  <si>
    <t>Naresh Palle</t>
  </si>
  <si>
    <t>004LR9</t>
  </si>
  <si>
    <t>Niraka Patra</t>
  </si>
  <si>
    <t>002UEY</t>
  </si>
  <si>
    <t>Naveen Kumar Pasupula</t>
  </si>
  <si>
    <t>0058JF</t>
  </si>
  <si>
    <t xml:space="preserve">Mahammad Rafi </t>
  </si>
  <si>
    <t>Paresh Gatta</t>
  </si>
  <si>
    <t>01903U</t>
  </si>
  <si>
    <t>Prashant Kiran Annaiahvondla</t>
  </si>
  <si>
    <t>Navi Mumbai</t>
  </si>
  <si>
    <t>04057F</t>
  </si>
  <si>
    <t>Veeravenkata Narayanarao Vatapalli</t>
  </si>
  <si>
    <t>0044UP</t>
  </si>
  <si>
    <t>Dileep Konduru</t>
  </si>
  <si>
    <t>000EC7</t>
  </si>
  <si>
    <t>Praveen Jain</t>
  </si>
  <si>
    <t>Nisarg Bhatt</t>
  </si>
  <si>
    <t>Calgary</t>
  </si>
  <si>
    <t>002Z9R</t>
  </si>
  <si>
    <t>Vishal Gupta</t>
  </si>
  <si>
    <t>002T0F</t>
  </si>
  <si>
    <t>Vinayak Awaji</t>
  </si>
  <si>
    <t>0D5372</t>
  </si>
  <si>
    <t>Qaiser Farooq</t>
  </si>
  <si>
    <t>003XDY</t>
  </si>
  <si>
    <t>Mangesh Pote</t>
  </si>
  <si>
    <t>0055UE</t>
  </si>
  <si>
    <t>Uday Chand Teli</t>
  </si>
  <si>
    <t>003ARY</t>
  </si>
  <si>
    <t>Shivakumara E S</t>
  </si>
  <si>
    <t>0F1757</t>
  </si>
  <si>
    <t>Preethi Lukose</t>
  </si>
  <si>
    <t>04364K</t>
  </si>
  <si>
    <t>RVN Prasad G</t>
  </si>
  <si>
    <t>Manage Environment Health and Safety</t>
  </si>
  <si>
    <t>004A0Q</t>
  </si>
  <si>
    <t>Saurav Bisht</t>
  </si>
  <si>
    <t>002WOL</t>
  </si>
  <si>
    <t>Sandeep Chebathini</t>
  </si>
  <si>
    <t>0046W9</t>
  </si>
  <si>
    <t>Rakesh Lokkakulla</t>
  </si>
  <si>
    <t>002OG6</t>
  </si>
  <si>
    <t>Suseela Vavilala</t>
  </si>
  <si>
    <t>02416K</t>
  </si>
  <si>
    <t>Tanveer Ahmad</t>
  </si>
  <si>
    <t>000Z8A</t>
  </si>
  <si>
    <t>Vempati Narayana</t>
  </si>
  <si>
    <t>003LGN</t>
  </si>
  <si>
    <t>Mamidi Venkataramana</t>
  </si>
  <si>
    <t>RAK0Y</t>
  </si>
  <si>
    <t>004BGT</t>
  </si>
  <si>
    <t>Satyanarayana Goddigoppula</t>
  </si>
  <si>
    <t>Integration</t>
  </si>
  <si>
    <t>002TDM</t>
  </si>
  <si>
    <t>Srinath Chindam</t>
  </si>
  <si>
    <t>002W7N</t>
  </si>
  <si>
    <t>Kasi Viswanadh Nayinala</t>
  </si>
  <si>
    <t>0035BD</t>
  </si>
  <si>
    <t>Ballamudi Gowtham</t>
  </si>
  <si>
    <t>004G08</t>
  </si>
  <si>
    <t>Nidi S G</t>
  </si>
  <si>
    <t>004KS1</t>
  </si>
  <si>
    <t>Vineeth Kalakonda</t>
  </si>
  <si>
    <t>0010VQ</t>
  </si>
  <si>
    <t>Sakshi Suman</t>
  </si>
  <si>
    <t xml:space="preserve">Rekha Bansal </t>
  </si>
  <si>
    <t>Saurav Day</t>
  </si>
  <si>
    <t xml:space="preserve"> </t>
  </si>
  <si>
    <t>Chaitanya Adepu</t>
  </si>
  <si>
    <t>Girish Varma</t>
  </si>
  <si>
    <t>0B7863</t>
  </si>
  <si>
    <t>DEVI PRIYA RELANGI</t>
  </si>
  <si>
    <t>0E0298</t>
  </si>
  <si>
    <t>Bishnu Kumar</t>
  </si>
  <si>
    <t>04397P</t>
  </si>
  <si>
    <t>Priyanka Bhat</t>
  </si>
  <si>
    <t>0032SO</t>
  </si>
  <si>
    <t>Sirajuddin Choudhary</t>
  </si>
  <si>
    <t>0049FY</t>
  </si>
  <si>
    <t>Sneha Maddine</t>
  </si>
  <si>
    <t>RAL89</t>
  </si>
  <si>
    <t>000XEE</t>
  </si>
  <si>
    <t>Anish Nayak</t>
  </si>
  <si>
    <t>002AYC</t>
  </si>
  <si>
    <t>Subramanya Kamath</t>
  </si>
  <si>
    <t>Mumbai</t>
  </si>
  <si>
    <t>0A2266</t>
  </si>
  <si>
    <t>Ahmed Khan</t>
  </si>
  <si>
    <t>003KIV</t>
  </si>
  <si>
    <t>Arvind Srivastava</t>
  </si>
  <si>
    <t>000BP9</t>
  </si>
  <si>
    <t>Pallavee Mishra</t>
  </si>
  <si>
    <t>0583C7</t>
  </si>
  <si>
    <t>Swati Sharma Pankaj</t>
  </si>
  <si>
    <t>Suresh Unnam</t>
  </si>
  <si>
    <t>Chethan Kelkar</t>
  </si>
  <si>
    <t>003BVY</t>
  </si>
  <si>
    <t>Praveen Acharya</t>
  </si>
  <si>
    <t>RAN49</t>
  </si>
  <si>
    <t>004GXM</t>
  </si>
  <si>
    <t>Puneet Gambhir</t>
  </si>
  <si>
    <t>D365 F&amp;O RBO MVT</t>
  </si>
  <si>
    <t>005DC1</t>
  </si>
  <si>
    <t>Vishakha Jadhav</t>
  </si>
  <si>
    <t>CVX9EX</t>
  </si>
  <si>
    <t>Michael Cheng</t>
  </si>
  <si>
    <t>RAQ3P</t>
  </si>
  <si>
    <t>005C0I</t>
  </si>
  <si>
    <t>Balaji Ramadoss</t>
  </si>
  <si>
    <t>Mobila Persistent Team</t>
  </si>
  <si>
    <t>0023S3</t>
  </si>
  <si>
    <t>Vanisree Gadila</t>
  </si>
  <si>
    <t>RAQML</t>
  </si>
  <si>
    <t>0B5293</t>
  </si>
  <si>
    <t>Anis Malik</t>
  </si>
  <si>
    <t>Toronto</t>
  </si>
  <si>
    <t>AWS MVT Team ( S&amp;M)</t>
  </si>
  <si>
    <t>CVX4P8</t>
  </si>
  <si>
    <t>Bin Yu ( Robbi)</t>
  </si>
  <si>
    <t>04349Q</t>
  </si>
  <si>
    <t>Panchanan Saha</t>
  </si>
  <si>
    <t>0B6902</t>
  </si>
  <si>
    <t>Lionel Tchami Nfada</t>
  </si>
  <si>
    <t>RAQMM</t>
  </si>
  <si>
    <t>BUD</t>
  </si>
  <si>
    <t>Specialized</t>
  </si>
  <si>
    <t>0A1023</t>
  </si>
  <si>
    <t>Marina Gatto</t>
  </si>
  <si>
    <t>RFMP</t>
  </si>
  <si>
    <t>Loyalty</t>
  </si>
  <si>
    <t>088111</t>
  </si>
  <si>
    <t>Shahzada Umair</t>
  </si>
  <si>
    <t>Halifax</t>
  </si>
  <si>
    <t>UEU Operate Assets External</t>
  </si>
  <si>
    <t>Juan V SEGARRA</t>
  </si>
  <si>
    <t>Control-M</t>
  </si>
  <si>
    <t>Vaishnavi Shetty</t>
  </si>
  <si>
    <t>Kranthi Gondu</t>
  </si>
  <si>
    <t>HYDERABAD</t>
  </si>
  <si>
    <t>Shahrukh Kalim Sayyad</t>
  </si>
  <si>
    <t>Tejas Rajendra Kute</t>
  </si>
  <si>
    <t>NOIDA</t>
  </si>
  <si>
    <t>Pooja NM</t>
  </si>
  <si>
    <t>BANGALORE</t>
  </si>
  <si>
    <t>Abhishek Neogi</t>
  </si>
  <si>
    <t>GURGAON</t>
  </si>
  <si>
    <t>Pankaj Singh</t>
  </si>
  <si>
    <t>Dattatraya Y Ranaware</t>
  </si>
  <si>
    <t>Downstream Business Apps</t>
  </si>
  <si>
    <t>Rafi Shaik</t>
  </si>
  <si>
    <t>Dynamics 365 CRM</t>
  </si>
  <si>
    <t>Indrajit Biswas</t>
  </si>
  <si>
    <t>Manish Vaishnav</t>
  </si>
  <si>
    <t>PRASHANT P KAYANGUDE</t>
  </si>
  <si>
    <t>0B9640</t>
  </si>
  <si>
    <t>POOYA TAVASSOLI</t>
  </si>
  <si>
    <t>Omprakash Yadav</t>
  </si>
  <si>
    <t>Non-SAP - Leadership</t>
  </si>
  <si>
    <t>0D5121</t>
  </si>
  <si>
    <t>David Olson</t>
  </si>
  <si>
    <t>GLADES</t>
  </si>
  <si>
    <t>Waseem Abulail</t>
  </si>
  <si>
    <t>0B0719</t>
  </si>
  <si>
    <t>Amit Shukla</t>
  </si>
  <si>
    <t>UEU Maintenance and Reliability External</t>
  </si>
  <si>
    <t>Jaydip R Patil</t>
  </si>
  <si>
    <t>Airbox IBM Support</t>
  </si>
  <si>
    <t>Kallol Baidya</t>
  </si>
  <si>
    <t>KOLKATA</t>
  </si>
  <si>
    <t>Digital Programs &amp; IEVC Delivery</t>
  </si>
  <si>
    <t>Navya Vudugula</t>
  </si>
  <si>
    <t>Apurva Yadav</t>
  </si>
  <si>
    <t>Samprati Pande</t>
  </si>
  <si>
    <t>RL Engineering Plus External</t>
  </si>
  <si>
    <t>Vivek Anand B</t>
  </si>
  <si>
    <t>CHENNAI</t>
  </si>
  <si>
    <t>Avinash Gautam</t>
  </si>
  <si>
    <t>Gujarathi Mamatha</t>
  </si>
  <si>
    <t>Vaishali Saha</t>
  </si>
  <si>
    <t>Naga Vyshnavi Vangala</t>
  </si>
  <si>
    <t>Sipra Samanta</t>
  </si>
  <si>
    <t>RL General External</t>
  </si>
  <si>
    <t>Saraswathi Narayanappa</t>
  </si>
  <si>
    <t>Mangesh Kharat</t>
  </si>
  <si>
    <t>RSAFH External IBM</t>
  </si>
  <si>
    <t>Vibhor Singh Parmar</t>
  </si>
  <si>
    <t>Sandeep S Kandoliya</t>
  </si>
  <si>
    <t>Gayathri B</t>
  </si>
  <si>
    <t>Asha Jadhav</t>
  </si>
  <si>
    <t>Pragati Singh</t>
  </si>
  <si>
    <t>Manoj Kumar V V</t>
  </si>
  <si>
    <t>Prabin Pattnaik</t>
  </si>
  <si>
    <t>Field Logistics</t>
  </si>
  <si>
    <t>GAYATHRI MEKALA</t>
  </si>
  <si>
    <t>Siri Chandana Madishetti</t>
  </si>
  <si>
    <t>SaaS Support</t>
  </si>
  <si>
    <t>Gunda Sai Divya</t>
  </si>
  <si>
    <t>Sanjay Chinta</t>
  </si>
  <si>
    <t>Saharsh Kumar</t>
  </si>
  <si>
    <t>Ballita Mishra</t>
  </si>
  <si>
    <t>Rukaiyya B Shaikh</t>
  </si>
  <si>
    <t>Venkata Surya Guru Keerthika Kintali</t>
  </si>
  <si>
    <t>PRIYANKA DEVNARAYAN JAISWAL</t>
  </si>
  <si>
    <t>Murali Mohan</t>
  </si>
  <si>
    <t>Shamini Ranga</t>
  </si>
  <si>
    <t>UEU Optimize Assets External</t>
  </si>
  <si>
    <t>Ganesh Mali</t>
  </si>
  <si>
    <t xml:space="preserve">Siddhartha Mukherjee </t>
  </si>
  <si>
    <t>Enterprise-Middleware</t>
  </si>
  <si>
    <t>Santosh S. Khadke</t>
  </si>
  <si>
    <t>Enterprise - EH&amp;S</t>
  </si>
  <si>
    <t>Modulla Sai Suhasini</t>
  </si>
  <si>
    <t>Samrudhi Molawade</t>
  </si>
  <si>
    <t>Surya Teja Pasupula</t>
  </si>
  <si>
    <t>Muthineni Divya</t>
  </si>
  <si>
    <t>Susanta Gahan</t>
  </si>
  <si>
    <t>Corporate EH&amp;S</t>
  </si>
  <si>
    <t>Sasmitha Prusty</t>
  </si>
  <si>
    <t>Raja S Bhadouriya</t>
  </si>
  <si>
    <t>Pragati Mane</t>
  </si>
  <si>
    <t>Harika Yalla</t>
  </si>
  <si>
    <t>Nishant.</t>
  </si>
  <si>
    <t>Corporate Finance</t>
  </si>
  <si>
    <t>Sakheti Narayana</t>
  </si>
  <si>
    <t>Tejaswini Bhukan</t>
  </si>
  <si>
    <t>NIKITA AGRAWAL</t>
  </si>
  <si>
    <t>Sudheer Kumar Shivampeta</t>
  </si>
  <si>
    <t>OMPRAKASH R. YADAV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</si>
  <si>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</si>
  <si>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</si>
  <si>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</si>
  <si>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</si>
  <si>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</si>
  <si>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</si>
  <si>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</si>
  <si>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</si>
  <si>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</si>
  <si>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</si>
  <si>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</si>
  <si>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</si>
  <si>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</si>
  <si>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Landed / Local</t>
  </si>
  <si>
    <t>India Bglr</t>
  </si>
  <si>
    <t>India Hyd + Others</t>
  </si>
  <si>
    <t>India Pune</t>
  </si>
  <si>
    <t>India SSP</t>
  </si>
  <si>
    <t>Holidays</t>
  </si>
  <si>
    <t>Base hours per resource by resource type post holiday adjustment</t>
  </si>
  <si>
    <t>Resource Type</t>
  </si>
  <si>
    <t>Hours to be considered for forecasting per month by resource type</t>
  </si>
  <si>
    <t>Halifax - 0.5FTE</t>
  </si>
  <si>
    <t>Landed / Local - 0.5FTE</t>
  </si>
  <si>
    <t>India Bglr - 0.5FTE</t>
  </si>
  <si>
    <t>RARV5</t>
  </si>
  <si>
    <t>RARV6</t>
  </si>
  <si>
    <t>Power BI</t>
  </si>
  <si>
    <t>Karan Aggarwal</t>
  </si>
  <si>
    <t>Vijay Kanagaratnam</t>
  </si>
  <si>
    <t>CVXGJB</t>
  </si>
  <si>
    <t>0F1390</t>
  </si>
  <si>
    <t xml:space="preserve">Sriram Ramaswamy Dhanakodi </t>
  </si>
  <si>
    <t>Nikita Agrawal</t>
  </si>
  <si>
    <t>Shweta Upadhya</t>
  </si>
  <si>
    <t>0326B0</t>
  </si>
  <si>
    <t>Rajani S B</t>
  </si>
  <si>
    <t>002YNA</t>
  </si>
  <si>
    <t>Nalamati Renuka Devi</t>
  </si>
  <si>
    <t>Kavya D</t>
  </si>
  <si>
    <t>SV3BMV</t>
  </si>
  <si>
    <t>Srishti Kaushik</t>
  </si>
  <si>
    <t>CCM</t>
  </si>
  <si>
    <t>004CHB</t>
  </si>
  <si>
    <t>004D7F</t>
  </si>
  <si>
    <t>SVVVYI</t>
  </si>
  <si>
    <t>SVIC7H</t>
  </si>
  <si>
    <t>0027LZ</t>
  </si>
  <si>
    <t>0685C9</t>
  </si>
  <si>
    <t>0031JW</t>
  </si>
  <si>
    <t>04058R</t>
  </si>
  <si>
    <t>0659D9</t>
  </si>
  <si>
    <t>004HSV</t>
  </si>
  <si>
    <t>005C54</t>
  </si>
  <si>
    <t>002UKG</t>
  </si>
  <si>
    <t>053595</t>
  </si>
  <si>
    <t>03043X</t>
  </si>
  <si>
    <t>AVU82T</t>
  </si>
  <si>
    <t>002DC3</t>
  </si>
  <si>
    <t>0018CI</t>
  </si>
  <si>
    <t>004CNG</t>
  </si>
  <si>
    <t>AVS8SV</t>
  </si>
  <si>
    <t>AVTHES</t>
  </si>
  <si>
    <t>002UN8</t>
  </si>
  <si>
    <t>00030Z</t>
  </si>
  <si>
    <t>0030NT</t>
  </si>
  <si>
    <t>0014PH</t>
  </si>
  <si>
    <t>07934Y</t>
  </si>
  <si>
    <t>SVI1HY</t>
  </si>
  <si>
    <t>000OWH</t>
  </si>
  <si>
    <t>01551I</t>
  </si>
  <si>
    <t>SVFSVX</t>
  </si>
  <si>
    <t>0029IW</t>
  </si>
  <si>
    <t>07000G</t>
  </si>
  <si>
    <t>0043FT</t>
  </si>
  <si>
    <t>05310I</t>
  </si>
  <si>
    <t>001ZPH</t>
  </si>
  <si>
    <t>AVRKMC</t>
  </si>
  <si>
    <t>0028MP</t>
  </si>
  <si>
    <t>0017T7</t>
  </si>
  <si>
    <t>003VPH</t>
  </si>
  <si>
    <t>04319Q</t>
  </si>
  <si>
    <t>06529U</t>
  </si>
  <si>
    <t>004ASP</t>
  </si>
  <si>
    <t>002HJI</t>
  </si>
  <si>
    <t>00665F</t>
  </si>
  <si>
    <t>0010VW</t>
  </si>
  <si>
    <t>002S3O</t>
  </si>
  <si>
    <t>004JXM</t>
  </si>
  <si>
    <t>03810B</t>
  </si>
  <si>
    <t>004ASG</t>
  </si>
  <si>
    <t>0022S2</t>
  </si>
  <si>
    <t>00223T</t>
  </si>
  <si>
    <t>004D7O</t>
  </si>
  <si>
    <t>000HFK</t>
  </si>
  <si>
    <t>AVPSPM</t>
  </si>
  <si>
    <t>0084C4</t>
  </si>
  <si>
    <t>0652B7</t>
  </si>
  <si>
    <t>000I07</t>
  </si>
  <si>
    <t>0011SF</t>
  </si>
  <si>
    <t>003SS8</t>
  </si>
  <si>
    <t>002AJ4</t>
  </si>
  <si>
    <t>850210</t>
  </si>
  <si>
    <t>031516</t>
  </si>
  <si>
    <t>379243</t>
  </si>
  <si>
    <t>Cost Rate (CAD)</t>
  </si>
  <si>
    <t>000YYO</t>
  </si>
  <si>
    <t>000H2G</t>
  </si>
  <si>
    <t>0344B8</t>
  </si>
  <si>
    <t>0020OH</t>
  </si>
  <si>
    <t>02451K</t>
  </si>
  <si>
    <t>0352B7</t>
  </si>
  <si>
    <t>08829Z</t>
  </si>
  <si>
    <t>00640X</t>
  </si>
  <si>
    <t>000H2B</t>
  </si>
  <si>
    <t>CVXD73</t>
  </si>
  <si>
    <t>0023NK</t>
  </si>
  <si>
    <t>002RSV</t>
  </si>
  <si>
    <t>002NKO</t>
  </si>
  <si>
    <t>CVW9F9</t>
  </si>
  <si>
    <t>0029XO</t>
  </si>
  <si>
    <t>005ED2</t>
  </si>
  <si>
    <t>0014RW</t>
  </si>
  <si>
    <t>0017JC</t>
  </si>
  <si>
    <t>000PA4</t>
  </si>
  <si>
    <t>001YYX</t>
  </si>
  <si>
    <t>03488M</t>
  </si>
  <si>
    <t>Con Felizarta</t>
  </si>
  <si>
    <t>DPS</t>
  </si>
  <si>
    <t>005LPU</t>
  </si>
  <si>
    <t>Srushti Shindkar</t>
  </si>
  <si>
    <t>India Pune - 0.5FTE</t>
  </si>
  <si>
    <t>PH - 0.25FTE</t>
  </si>
  <si>
    <t>Ph - 0.125FTE</t>
  </si>
  <si>
    <t>Tanish Arora</t>
  </si>
  <si>
    <t>SVCJ20</t>
  </si>
  <si>
    <t>DASARI NAGA GOPALA KRISHNA</t>
  </si>
  <si>
    <t>Vijanapalli Bhavyasri</t>
  </si>
  <si>
    <t>Nikhila Pilli</t>
  </si>
  <si>
    <t>000H1Z</t>
  </si>
  <si>
    <t>Arijit Biswas</t>
  </si>
  <si>
    <t>005HAQ</t>
  </si>
  <si>
    <t>R Srinivasan</t>
  </si>
  <si>
    <t>SVAGP5</t>
  </si>
  <si>
    <t>Meghna Datta</t>
  </si>
  <si>
    <t>005IHU</t>
  </si>
  <si>
    <t>Ruben Saldivar</t>
  </si>
  <si>
    <t>Mexico</t>
  </si>
  <si>
    <t>Guadalajara</t>
  </si>
  <si>
    <t>003ODR</t>
  </si>
  <si>
    <t>Sridhar Mothakapalli</t>
  </si>
  <si>
    <t>Baby Ramya Putta</t>
  </si>
  <si>
    <t>Praveen Devarkar</t>
  </si>
  <si>
    <t>Varada Joglekar</t>
  </si>
  <si>
    <t>Venkata Naveen Muchu</t>
  </si>
  <si>
    <t>005G8U</t>
  </si>
  <si>
    <t>0051PM</t>
  </si>
  <si>
    <t>00221Z</t>
  </si>
  <si>
    <t>0050EB</t>
  </si>
  <si>
    <t>Mallem Pavani</t>
  </si>
  <si>
    <t>Yashi Agarwal</t>
  </si>
  <si>
    <t>002AHR</t>
  </si>
  <si>
    <t>083221</t>
  </si>
  <si>
    <t>SVXRYL</t>
  </si>
  <si>
    <t xml:space="preserve">ALOK SHRIVASTAVA         </t>
  </si>
  <si>
    <t xml:space="preserve">JYOTHI ABBE              </t>
  </si>
  <si>
    <t xml:space="preserve">SAKHEE MATE              </t>
  </si>
  <si>
    <t xml:space="preserve">SANJUKTA CHOUDHURY       </t>
  </si>
  <si>
    <t xml:space="preserve">V H RAVI SINGH           </t>
  </si>
  <si>
    <t>01417I</t>
  </si>
  <si>
    <t>0004IZ</t>
  </si>
  <si>
    <t>0687F9</t>
  </si>
  <si>
    <t>09701H</t>
  </si>
  <si>
    <t>065436</t>
  </si>
  <si>
    <t>Bikash Harichandan</t>
  </si>
  <si>
    <t>Md Aquib Khan</t>
  </si>
  <si>
    <t>0055WA</t>
  </si>
  <si>
    <t>Belduri Kotesh</t>
  </si>
  <si>
    <t>005PUQ</t>
  </si>
  <si>
    <t>Downstream S&amp;M</t>
  </si>
  <si>
    <t>D365 F&amp;O WBO MVT</t>
  </si>
  <si>
    <t>003MJE</t>
  </si>
  <si>
    <t>Sankar S</t>
  </si>
  <si>
    <t>Siddhardha Balla</t>
  </si>
  <si>
    <t>005PQU</t>
  </si>
  <si>
    <t>RAS04</t>
  </si>
  <si>
    <t>SVY7E6</t>
  </si>
  <si>
    <t>Vigneshwaran Rangasamy</t>
  </si>
  <si>
    <t>Vishruthi D</t>
  </si>
  <si>
    <t>SVDNK4</t>
  </si>
  <si>
    <t>Neeraj Kumar</t>
  </si>
  <si>
    <t>004GKU</t>
  </si>
  <si>
    <t>0050AA</t>
  </si>
  <si>
    <t>Syed Sabiha</t>
  </si>
  <si>
    <t>Akhilesh Singh</t>
  </si>
  <si>
    <t>005SLA</t>
  </si>
  <si>
    <t>Dindy Nikesh Kumar</t>
  </si>
  <si>
    <t>CIC Calgary</t>
  </si>
  <si>
    <t>Battula Gurrappa</t>
  </si>
  <si>
    <t>005OON</t>
  </si>
  <si>
    <t>Yogeshwar Sharma</t>
  </si>
  <si>
    <t>005WX7</t>
  </si>
  <si>
    <t>Jagruti Ravindra Bhoyar</t>
  </si>
  <si>
    <t>Sneha Behera</t>
  </si>
  <si>
    <t>005VFK</t>
  </si>
  <si>
    <t>005TZS</t>
  </si>
  <si>
    <t>Lokesh Boodas</t>
  </si>
  <si>
    <t>Jan-26 Cost</t>
  </si>
  <si>
    <t>Feb-26 Cost</t>
  </si>
  <si>
    <t>Mar-26 Cost</t>
  </si>
  <si>
    <t>Apr-26 Cost</t>
  </si>
  <si>
    <t>May-26 Cost</t>
  </si>
  <si>
    <t>June-26 Cost</t>
  </si>
  <si>
    <t>July-26 Cost</t>
  </si>
  <si>
    <t>Aug-26 Cost</t>
  </si>
  <si>
    <t>Sep-26 Cost</t>
  </si>
  <si>
    <t>Oct-26 Cost</t>
  </si>
  <si>
    <t>Nov-26 Cost</t>
  </si>
  <si>
    <t>Dec-26 Cost</t>
  </si>
  <si>
    <t>Vishal Ojha</t>
  </si>
  <si>
    <t>Likitha Shetty</t>
  </si>
  <si>
    <t>ServiceNow</t>
  </si>
  <si>
    <t>Nidhi Kashyap</t>
  </si>
  <si>
    <t>005T06</t>
  </si>
  <si>
    <t>Prajakta Thakare</t>
  </si>
  <si>
    <t>002U6Z</t>
  </si>
  <si>
    <t>Priyanand Ravindran</t>
  </si>
  <si>
    <t>002Z15</t>
  </si>
  <si>
    <t>Mano Xavier Sebastianappan</t>
  </si>
  <si>
    <t>0B7395</t>
  </si>
  <si>
    <t>004HNM</t>
  </si>
  <si>
    <t>003FQM</t>
  </si>
  <si>
    <t>005Z5W</t>
  </si>
  <si>
    <t>005KLN</t>
  </si>
  <si>
    <t>Mysore</t>
  </si>
  <si>
    <t>LWD - Jan 30, 2026</t>
  </si>
  <si>
    <t>Start Date - Jan 5, 2026</t>
  </si>
  <si>
    <t>Arun Senthurpandian</t>
  </si>
  <si>
    <t>0048SP</t>
  </si>
  <si>
    <t>0053KN</t>
  </si>
  <si>
    <t>Hema Jadav</t>
  </si>
  <si>
    <t>Shital Giradkar</t>
  </si>
  <si>
    <t>Shikhar Srivastava</t>
  </si>
  <si>
    <t>005Q1E</t>
  </si>
  <si>
    <t>004FGC</t>
  </si>
  <si>
    <t>03584N</t>
  </si>
  <si>
    <t>Kanchan Vats</t>
  </si>
  <si>
    <t>LWD - Jan 2, 2026</t>
  </si>
  <si>
    <t>004FT1</t>
  </si>
  <si>
    <t>Akanksha Tiwari</t>
  </si>
  <si>
    <t>15 days leave</t>
  </si>
  <si>
    <t>Lokesh Rao</t>
  </si>
  <si>
    <t>Sum of Jan-26 Cost</t>
  </si>
  <si>
    <t>Sum of Feb-26 Cost</t>
  </si>
  <si>
    <t>Sum of Mar-26 Cost</t>
  </si>
  <si>
    <t>Sum of Apr-26 Cost</t>
  </si>
  <si>
    <t>Sum of May-26 Cost</t>
  </si>
  <si>
    <t>Sum of June-26 Cost</t>
  </si>
  <si>
    <t>Sum of July-26 Cost</t>
  </si>
  <si>
    <t>Sum of Aug-26 Cost</t>
  </si>
  <si>
    <t>Sum of Sep-26 Cost</t>
  </si>
  <si>
    <t>Sum of Oct-26 Cost</t>
  </si>
  <si>
    <t>Sum of Nov-26 Cost</t>
  </si>
  <si>
    <t>Sum of Dec-26 Cost</t>
  </si>
  <si>
    <t>0057DQ</t>
  </si>
  <si>
    <t>Satish Kumar Gvns</t>
  </si>
  <si>
    <t>LWD - Jan 9, 2026</t>
  </si>
  <si>
    <t>LWD - Jan 16, 2026</t>
  </si>
  <si>
    <t>LWD 27Feb 2026</t>
  </si>
  <si>
    <t>Vineet Arora - Backfill</t>
  </si>
  <si>
    <t>Vijaya Ulchala - Backfill</t>
  </si>
  <si>
    <t>India Pune - 0.75FTE</t>
  </si>
  <si>
    <t>India Pune - 0.25FTE</t>
  </si>
  <si>
    <t>0.25FTE moved to Downstream S&amp;M</t>
  </si>
  <si>
    <t>India Bglr - 0.25FTE</t>
  </si>
  <si>
    <t>India Bglr - 0.75FTE</t>
  </si>
  <si>
    <t>0.5FTE moved to Downstream S&amp;M</t>
  </si>
  <si>
    <t>ADLP</t>
  </si>
  <si>
    <t xml:space="preserve">New addition </t>
  </si>
  <si>
    <t>Indranil Paul</t>
  </si>
  <si>
    <t>005ILE</t>
  </si>
  <si>
    <t>Pooja NM backfill</t>
  </si>
  <si>
    <t>Mohd Shamsuddin Ahmed</t>
  </si>
  <si>
    <t>SVUWJ3</t>
  </si>
  <si>
    <t>JUVAIRIYA FATHIMA backfill</t>
  </si>
  <si>
    <t>LWD mid Jan</t>
  </si>
  <si>
    <t>Sanjay Singh</t>
  </si>
  <si>
    <t>SVR3K2</t>
  </si>
  <si>
    <t>Bikash Harichandan backfill</t>
  </si>
  <si>
    <t>LWD 2nd Jan</t>
  </si>
  <si>
    <t>Capacity</t>
  </si>
  <si>
    <t>000MP7</t>
  </si>
  <si>
    <t>003CZH</t>
  </si>
  <si>
    <t>003Y3A</t>
  </si>
  <si>
    <t>RATV0</t>
  </si>
  <si>
    <t>Yogendra Soni</t>
  </si>
  <si>
    <t>002NOQ</t>
  </si>
  <si>
    <t>RASZP</t>
  </si>
  <si>
    <t>CVXU1U</t>
  </si>
  <si>
    <t>VERZNEV CATUBIG</t>
  </si>
  <si>
    <t>AWS Persistent Team</t>
  </si>
  <si>
    <t>LWD  - Jan 15, 2026</t>
  </si>
  <si>
    <t>Sanjay Prasad</t>
  </si>
  <si>
    <t>RATF0</t>
  </si>
  <si>
    <t>0A8219</t>
  </si>
  <si>
    <t>Pramod Bhat</t>
  </si>
  <si>
    <t>0B6910</t>
  </si>
  <si>
    <t>SVJJLG</t>
  </si>
  <si>
    <t>Shaik Jaleel</t>
  </si>
  <si>
    <t>Testing COE</t>
  </si>
  <si>
    <t>RAT5N</t>
  </si>
  <si>
    <t>Sreelekha Devaraju </t>
  </si>
  <si>
    <t>005WN0</t>
  </si>
  <si>
    <t>KHURRAM JAHANGIR</t>
  </si>
  <si>
    <t>077024</t>
  </si>
  <si>
    <t>Piyush Dhiman</t>
  </si>
  <si>
    <t>Harjot Singh</t>
  </si>
  <si>
    <t>005VPU</t>
  </si>
  <si>
    <t>005VRG</t>
  </si>
  <si>
    <t>005VP7</t>
  </si>
  <si>
    <t>Sagar Kumbhar</t>
  </si>
  <si>
    <t>ML - Mar 15, 2026</t>
  </si>
  <si>
    <t>Vrinda Dafedar</t>
  </si>
  <si>
    <t>Indrajit Biswas backfill</t>
  </si>
  <si>
    <t>RATV5</t>
  </si>
  <si>
    <t>Bhaskar Rathod</t>
  </si>
  <si>
    <t>005M24</t>
  </si>
  <si>
    <t>LWD - Feb 6, 2026</t>
  </si>
  <si>
    <t>LWD - Feb 28, 2026</t>
  </si>
  <si>
    <t>Ramkumar Rayampallimadam</t>
  </si>
  <si>
    <t>002RX5</t>
  </si>
  <si>
    <t>005Y1X</t>
  </si>
  <si>
    <t>ServiceNow PT2</t>
  </si>
  <si>
    <t>LWD - Feb 13, 2026</t>
  </si>
  <si>
    <t>Swati Kapoor</t>
  </si>
  <si>
    <t>LWD 6th Feb</t>
  </si>
  <si>
    <t>Talent ID</t>
  </si>
  <si>
    <t>002N3W744</t>
  </si>
  <si>
    <t>083221744</t>
  </si>
  <si>
    <t>04057F744</t>
  </si>
  <si>
    <t>005M24744</t>
  </si>
  <si>
    <t>004KS1744</t>
  </si>
  <si>
    <t>005Y1X744</t>
  </si>
  <si>
    <t>004MPB744</t>
  </si>
  <si>
    <t>005VPU744</t>
  </si>
  <si>
    <t>005VRG744</t>
  </si>
  <si>
    <t>005VP7744</t>
  </si>
  <si>
    <t>065436744</t>
  </si>
  <si>
    <t>053595744</t>
  </si>
  <si>
    <t>0F1955649</t>
  </si>
  <si>
    <t>002T0F744</t>
  </si>
  <si>
    <t>062992781</t>
  </si>
  <si>
    <t>0049FY744</t>
  </si>
  <si>
    <t>000PA4649</t>
  </si>
  <si>
    <t>CVXU1UCA3</t>
  </si>
  <si>
    <t>000H2G649</t>
  </si>
  <si>
    <t>088111649</t>
  </si>
  <si>
    <t>102703PH1</t>
  </si>
  <si>
    <t>004HSV744</t>
  </si>
  <si>
    <t>077024649</t>
  </si>
  <si>
    <t>002NOQ744</t>
  </si>
  <si>
    <t>Backfill of Vasantha Yerramareddy</t>
  </si>
  <si>
    <t>Backfill of Shraddha Phadtare</t>
  </si>
  <si>
    <t>08993B744</t>
  </si>
  <si>
    <t>002ODP744</t>
  </si>
  <si>
    <t>147917PH1</t>
  </si>
  <si>
    <t>850210744</t>
  </si>
  <si>
    <t/>
  </si>
  <si>
    <t>000OTZ744</t>
  </si>
  <si>
    <t>00222U744</t>
  </si>
  <si>
    <t>03878N744</t>
  </si>
  <si>
    <t>0047ZX744</t>
  </si>
  <si>
    <t>002OMG744</t>
  </si>
  <si>
    <t>003WIB744</t>
  </si>
  <si>
    <t>005OON744</t>
  </si>
  <si>
    <t>004GHA744</t>
  </si>
  <si>
    <t>004FT1744</t>
  </si>
  <si>
    <t>000E9S744</t>
  </si>
  <si>
    <t>002AHR744</t>
  </si>
  <si>
    <t>002YNA744</t>
  </si>
  <si>
    <t>002XQB744</t>
  </si>
  <si>
    <t>005ADA744</t>
  </si>
  <si>
    <t>06436F744</t>
  </si>
  <si>
    <t>SVRDMC744</t>
  </si>
  <si>
    <t>SVRC3X744</t>
  </si>
  <si>
    <t>0A8219649</t>
  </si>
  <si>
    <t>CVXD73CA3</t>
  </si>
  <si>
    <t>02451K744</t>
  </si>
  <si>
    <t>003L3W744</t>
  </si>
  <si>
    <t>P101BXPH1</t>
  </si>
  <si>
    <t>00640X744</t>
  </si>
  <si>
    <t>00082T744</t>
  </si>
  <si>
    <t>102395PH1</t>
  </si>
  <si>
    <t>000MP7744</t>
  </si>
  <si>
    <t>002P6J744</t>
  </si>
  <si>
    <t>0034ZB744</t>
  </si>
  <si>
    <t>0B7777649</t>
  </si>
  <si>
    <t>003FQM744</t>
  </si>
  <si>
    <t>002ZWI744</t>
  </si>
  <si>
    <t>002QZK744</t>
  </si>
  <si>
    <t>134845PH1</t>
  </si>
  <si>
    <t>004BQK744</t>
  </si>
  <si>
    <t>0055VW744</t>
  </si>
  <si>
    <t>002XBU744</t>
  </si>
  <si>
    <t>004QN3744</t>
  </si>
  <si>
    <t>000CYY744</t>
  </si>
  <si>
    <t>002DQG744</t>
  </si>
  <si>
    <t>148231PH1</t>
  </si>
  <si>
    <t>479876744</t>
  </si>
  <si>
    <t>0326B0744</t>
  </si>
  <si>
    <t>002X3T744</t>
  </si>
  <si>
    <t>01648S744</t>
  </si>
  <si>
    <t>004EVC744</t>
  </si>
  <si>
    <t>004SIG744</t>
  </si>
  <si>
    <t>005A0R744</t>
  </si>
  <si>
    <t>05809X744</t>
  </si>
  <si>
    <t>005BRK744</t>
  </si>
  <si>
    <t>0048SF744</t>
  </si>
  <si>
    <t>0059OE744</t>
  </si>
  <si>
    <t>0058JV744</t>
  </si>
  <si>
    <t>004LR9744</t>
  </si>
  <si>
    <t>0023NK744</t>
  </si>
  <si>
    <t>0058JF744</t>
  </si>
  <si>
    <t>01903U744</t>
  </si>
  <si>
    <t>003CZH744</t>
  </si>
  <si>
    <t>000H1Z744</t>
  </si>
  <si>
    <t>0044UP744</t>
  </si>
  <si>
    <t>000EC7744</t>
  </si>
  <si>
    <t>CVW9F9CA3</t>
  </si>
  <si>
    <t>03584N744</t>
  </si>
  <si>
    <t>002Z9R744</t>
  </si>
  <si>
    <t>0050EB744</t>
  </si>
  <si>
    <t>0053KN744</t>
  </si>
  <si>
    <t>005Q1E744</t>
  </si>
  <si>
    <t>004FGC744</t>
  </si>
  <si>
    <t>0048SP744</t>
  </si>
  <si>
    <t>0D5372649</t>
  </si>
  <si>
    <t>SVXRYL744</t>
  </si>
  <si>
    <t>003XDY744</t>
  </si>
  <si>
    <t>005Z5W744</t>
  </si>
  <si>
    <t>0055UE744</t>
  </si>
  <si>
    <t>003ARY744</t>
  </si>
  <si>
    <t>0F1757649</t>
  </si>
  <si>
    <t>004HNM744</t>
  </si>
  <si>
    <t>04364K744</t>
  </si>
  <si>
    <t>004A0Q744</t>
  </si>
  <si>
    <t>002WOL744</t>
  </si>
  <si>
    <t>002RX5744</t>
  </si>
  <si>
    <t>002OG6744</t>
  </si>
  <si>
    <t>000Z8A744</t>
  </si>
  <si>
    <t>003LGN744</t>
  </si>
  <si>
    <t>002NKO744</t>
  </si>
  <si>
    <t>0020OH744</t>
  </si>
  <si>
    <t>0352B7744</t>
  </si>
  <si>
    <t>000H2B744</t>
  </si>
  <si>
    <t>08829Z744</t>
  </si>
  <si>
    <t>004FLW744</t>
  </si>
  <si>
    <t>SV3BMV744</t>
  </si>
  <si>
    <t>003DSC744</t>
  </si>
  <si>
    <t>004JEE744</t>
  </si>
  <si>
    <t>005BG7744</t>
  </si>
  <si>
    <t>003YGN744</t>
  </si>
  <si>
    <t>003YFS744</t>
  </si>
  <si>
    <t>002BPK744</t>
  </si>
  <si>
    <t>0046W9744</t>
  </si>
  <si>
    <t>02416K744</t>
  </si>
  <si>
    <t>005PQU744</t>
  </si>
  <si>
    <t>002UEY744</t>
  </si>
  <si>
    <t>002RSV744</t>
  </si>
  <si>
    <t>0B6910649</t>
  </si>
  <si>
    <t>00221Z744</t>
  </si>
  <si>
    <t>005G8U744</t>
  </si>
  <si>
    <t>0051PM744</t>
  </si>
  <si>
    <t>0014RW744</t>
  </si>
  <si>
    <t>0017JC744</t>
  </si>
  <si>
    <t>004BGT744</t>
  </si>
  <si>
    <t>005ILE744</t>
  </si>
  <si>
    <t>002TDM744</t>
  </si>
  <si>
    <t>005HAQ744</t>
  </si>
  <si>
    <t>002W7N744</t>
  </si>
  <si>
    <t>0035BD744</t>
  </si>
  <si>
    <t>004G08744</t>
  </si>
  <si>
    <t>0010VQ744</t>
  </si>
  <si>
    <t>005KLN744</t>
  </si>
  <si>
    <t>0029XO744</t>
  </si>
  <si>
    <t>005ED2744</t>
  </si>
  <si>
    <t>0B7863649</t>
  </si>
  <si>
    <t>0E0298649</t>
  </si>
  <si>
    <t>04397P744</t>
  </si>
  <si>
    <t>0032SO744</t>
  </si>
  <si>
    <t>001YYX744</t>
  </si>
  <si>
    <t>000XEE744</t>
  </si>
  <si>
    <t>002AYC744</t>
  </si>
  <si>
    <t>0A2266649</t>
  </si>
  <si>
    <t>003KIV744</t>
  </si>
  <si>
    <t>000BP9744</t>
  </si>
  <si>
    <t>0583C7744</t>
  </si>
  <si>
    <t>003BVY744</t>
  </si>
  <si>
    <t>004GXM744</t>
  </si>
  <si>
    <t>005WX7744</t>
  </si>
  <si>
    <t>005DC1744</t>
  </si>
  <si>
    <t>003MJE744</t>
  </si>
  <si>
    <t>004GKU744</t>
  </si>
  <si>
    <t>CVX9EXCA3</t>
  </si>
  <si>
    <t>005C0I744</t>
  </si>
  <si>
    <t>0023S3744</t>
  </si>
  <si>
    <t>0F1390649</t>
  </si>
  <si>
    <t>CVXGJBCA3</t>
  </si>
  <si>
    <t>04349Q744</t>
  </si>
  <si>
    <t>005IHU744</t>
  </si>
  <si>
    <t>CVX4P8CA3</t>
  </si>
  <si>
    <t>0B5293649</t>
  </si>
  <si>
    <t>0B6902649</t>
  </si>
  <si>
    <t>0685C9744</t>
  </si>
  <si>
    <t>0344B8744</t>
  </si>
  <si>
    <t>002KQV744</t>
  </si>
  <si>
    <t>005WN0744</t>
  </si>
  <si>
    <t>0057DQ744</t>
  </si>
  <si>
    <t>004K5O744</t>
  </si>
  <si>
    <t>0050AA744</t>
  </si>
  <si>
    <t>SVJJLG744</t>
  </si>
  <si>
    <t>004SC0744</t>
  </si>
  <si>
    <t>000AUI744</t>
  </si>
  <si>
    <t>0055WA744</t>
  </si>
  <si>
    <t>P102C5PH1</t>
  </si>
  <si>
    <t>SVCJ20744</t>
  </si>
  <si>
    <t>0D8640649</t>
  </si>
  <si>
    <t>002Z15744</t>
  </si>
  <si>
    <t>002U6Z744</t>
  </si>
  <si>
    <t>0B7395649</t>
  </si>
  <si>
    <t>005T06744</t>
  </si>
  <si>
    <t>000YYO744</t>
  </si>
  <si>
    <t>04699D744</t>
  </si>
  <si>
    <t>P101ACPH1</t>
  </si>
  <si>
    <t>0031JW744</t>
  </si>
  <si>
    <t>003JQA744</t>
  </si>
  <si>
    <t>0226C7744</t>
  </si>
  <si>
    <t>005PUQ744</t>
  </si>
  <si>
    <t>0A1023649</t>
  </si>
  <si>
    <t>03488M744</t>
  </si>
  <si>
    <t>004CHB744</t>
  </si>
  <si>
    <t>004D7F744</t>
  </si>
  <si>
    <t>SVVVYI744</t>
  </si>
  <si>
    <t>04058R744</t>
  </si>
  <si>
    <t>0659D9744</t>
  </si>
  <si>
    <t>SVUWJ3744</t>
  </si>
  <si>
    <t>005C54744</t>
  </si>
  <si>
    <t>002UKG744</t>
  </si>
  <si>
    <t>0D5121649</t>
  </si>
  <si>
    <t>0B0719649</t>
  </si>
  <si>
    <t>03043X744</t>
  </si>
  <si>
    <t>AVU82T744</t>
  </si>
  <si>
    <t>002DC3744</t>
  </si>
  <si>
    <t>0018CI744</t>
  </si>
  <si>
    <t>004CNG744</t>
  </si>
  <si>
    <t>AVS8SV744</t>
  </si>
  <si>
    <t>AVTHES744</t>
  </si>
  <si>
    <t>002UN8744</t>
  </si>
  <si>
    <t>00030Z744</t>
  </si>
  <si>
    <t>0030NT744</t>
  </si>
  <si>
    <t>0014PH744</t>
  </si>
  <si>
    <t>SVDNK4744</t>
  </si>
  <si>
    <t>07934Y744</t>
  </si>
  <si>
    <t>SVI1HY744</t>
  </si>
  <si>
    <t>000OWH744</t>
  </si>
  <si>
    <t>01551I744</t>
  </si>
  <si>
    <t>SVFSVX744</t>
  </si>
  <si>
    <t>0029IW744</t>
  </si>
  <si>
    <t>SVIC7H744</t>
  </si>
  <si>
    <t>SVAGP5744</t>
  </si>
  <si>
    <t>07000G744</t>
  </si>
  <si>
    <t>0043FT744</t>
  </si>
  <si>
    <t>05310I744</t>
  </si>
  <si>
    <t>001ZPH744</t>
  </si>
  <si>
    <t>AVRKMC744</t>
  </si>
  <si>
    <t>0028MP744</t>
  </si>
  <si>
    <t>0017T7744</t>
  </si>
  <si>
    <t>003VPH744</t>
  </si>
  <si>
    <t>04319Q744</t>
  </si>
  <si>
    <t>06529U744</t>
  </si>
  <si>
    <t>004ASP744</t>
  </si>
  <si>
    <t>002HJI744</t>
  </si>
  <si>
    <t>00665F744</t>
  </si>
  <si>
    <t>0010VW744</t>
  </si>
  <si>
    <t>002S3O744</t>
  </si>
  <si>
    <t>004JXM744</t>
  </si>
  <si>
    <t>03810B744</t>
  </si>
  <si>
    <t>004ASG744</t>
  </si>
  <si>
    <t>0022S2744</t>
  </si>
  <si>
    <t>00223T744</t>
  </si>
  <si>
    <t>004D7O744</t>
  </si>
  <si>
    <t>000HFK744</t>
  </si>
  <si>
    <t>AVPSPM744</t>
  </si>
  <si>
    <t>0084C4744</t>
  </si>
  <si>
    <t>0652B7744</t>
  </si>
  <si>
    <t>003ODR744</t>
  </si>
  <si>
    <t>005LPU744</t>
  </si>
  <si>
    <t>005SLA744</t>
  </si>
  <si>
    <t>0011SF744</t>
  </si>
  <si>
    <t>003SS8744</t>
  </si>
  <si>
    <t>002AJ4744</t>
  </si>
  <si>
    <t>01417I744</t>
  </si>
  <si>
    <t>09701H744</t>
  </si>
  <si>
    <t>261490744</t>
  </si>
  <si>
    <t>SVR3K2744</t>
  </si>
  <si>
    <t>003Y3A744</t>
  </si>
  <si>
    <t>0004IZ744</t>
  </si>
  <si>
    <t>0687F9744</t>
  </si>
  <si>
    <t>000I07744</t>
  </si>
  <si>
    <t>005VFK744</t>
  </si>
  <si>
    <t>005TZS744</t>
  </si>
  <si>
    <t>0027LZ744</t>
  </si>
  <si>
    <t>SVY7E6744</t>
  </si>
  <si>
    <t>0B9640649</t>
  </si>
  <si>
    <t>379243744</t>
  </si>
  <si>
    <t>w/o backfill</t>
  </si>
  <si>
    <t xml:space="preserve">Surbhi Choubey </t>
  </si>
  <si>
    <t>001ZA4744</t>
  </si>
  <si>
    <t>001ZA4</t>
  </si>
  <si>
    <t>Backfill of R Srinivasan</t>
  </si>
  <si>
    <t>004AY3744</t>
  </si>
  <si>
    <t>004AY3</t>
  </si>
  <si>
    <t>Backfill of Vishruthi D</t>
  </si>
  <si>
    <t>Triage Evaluate &amp; Dispatch</t>
  </si>
  <si>
    <t>Sahil Nagdeve</t>
  </si>
  <si>
    <t>0062PN</t>
  </si>
  <si>
    <t>0062PN744</t>
  </si>
  <si>
    <t>Backfill of Tanveer Ahmad</t>
  </si>
  <si>
    <t>030943744</t>
  </si>
  <si>
    <t>JAYASHREEDOSS DURAIRAJ</t>
  </si>
  <si>
    <t>030943</t>
  </si>
  <si>
    <t>0060TJ744</t>
  </si>
  <si>
    <t>SIVA KUMAR UPPARI</t>
  </si>
  <si>
    <t>0060TJ</t>
  </si>
  <si>
    <t>LWD - Mar 20, 2026</t>
  </si>
  <si>
    <t>Swain, Sudhansu</t>
  </si>
  <si>
    <t>005AZ6</t>
  </si>
  <si>
    <t>005AZ6744</t>
  </si>
  <si>
    <t>LWD - Apr 3, 2026</t>
  </si>
  <si>
    <t>Kigenousta Rochmiller</t>
  </si>
  <si>
    <t>Pedireddi Polinaidu</t>
  </si>
  <si>
    <t>004KXD744</t>
  </si>
  <si>
    <t>004KXD</t>
  </si>
  <si>
    <t>Venkateswara Reddy Tanguturi</t>
  </si>
  <si>
    <t>CVY5NKCA3</t>
  </si>
  <si>
    <t>CVY5NK</t>
  </si>
  <si>
    <t>LWD - Mar 4, 2026</t>
  </si>
  <si>
    <t>Raghunath R</t>
  </si>
  <si>
    <t>003UBQ744</t>
  </si>
  <si>
    <t>003UBQ</t>
  </si>
  <si>
    <t>0F3460649</t>
  </si>
  <si>
    <t>0F3460</t>
  </si>
  <si>
    <t>Sai Rama Krishna</t>
  </si>
  <si>
    <t>Nav Singh</t>
  </si>
  <si>
    <t>31516744</t>
  </si>
  <si>
    <t>LWD 20th March</t>
  </si>
  <si>
    <t>No Backfill. LWD 6th Mar</t>
  </si>
  <si>
    <t>Bandhaiahgari Pampapath</t>
  </si>
  <si>
    <t>Md Amir</t>
  </si>
  <si>
    <t>005W3T744</t>
  </si>
  <si>
    <t>005W3T</t>
  </si>
  <si>
    <t>005OH8744</t>
  </si>
  <si>
    <t>005OH8</t>
  </si>
  <si>
    <t>Vigneshwaran Rangasamy Backfill</t>
  </si>
  <si>
    <t>LWD 17th April</t>
  </si>
  <si>
    <t>0B8500</t>
  </si>
  <si>
    <t>0B8500649</t>
  </si>
  <si>
    <t>Sohini Mukherjee</t>
  </si>
  <si>
    <t>LWD - Mar 30, 2026</t>
  </si>
  <si>
    <t>Challa Pavan Kumar (ServiceNow)</t>
  </si>
  <si>
    <t>(All)</t>
  </si>
  <si>
    <t>0.5FTE</t>
  </si>
  <si>
    <t>Dudekula Rehana</t>
  </si>
  <si>
    <t>000I3N</t>
  </si>
  <si>
    <t>000I3N744</t>
  </si>
  <si>
    <t>Vallampati Sri Priya</t>
  </si>
  <si>
    <t>New addition - PVT</t>
  </si>
  <si>
    <t>KHURRAM JAHANGIR backfill</t>
  </si>
  <si>
    <t>0F2050</t>
  </si>
  <si>
    <t>Pratha Veronica Verma</t>
  </si>
  <si>
    <t>Non-SAP - Architect</t>
  </si>
  <si>
    <t>New addition - Site Reliability Architect</t>
  </si>
  <si>
    <t>For P6TY0 ONLY (Leave: 7%)</t>
  </si>
  <si>
    <t>Sampath Uppala</t>
  </si>
  <si>
    <t>CVY82ECA3</t>
  </si>
  <si>
    <t>CVY82E</t>
  </si>
  <si>
    <t xml:space="preserve">0F2050649 </t>
  </si>
  <si>
    <t>LWD - May 21, 2026</t>
  </si>
  <si>
    <t>Darshan SK</t>
  </si>
  <si>
    <t>0054DM744</t>
  </si>
  <si>
    <t>0054DM</t>
  </si>
  <si>
    <t>LWD - May 15, 2026</t>
  </si>
  <si>
    <t>Pooja Dodla</t>
  </si>
  <si>
    <t>0062D3</t>
  </si>
  <si>
    <t>0062D3744</t>
  </si>
  <si>
    <t>LWD - Jul 28,2026</t>
  </si>
  <si>
    <t>Rishika Sheri</t>
  </si>
  <si>
    <t>004JOW744</t>
  </si>
  <si>
    <t>004JOW</t>
  </si>
  <si>
    <t>Akshaya Das</t>
  </si>
  <si>
    <t>Kochi</t>
  </si>
  <si>
    <t>0068OE744</t>
  </si>
  <si>
    <t>0068OE</t>
  </si>
  <si>
    <t>Nirmal Chandra Pati</t>
  </si>
  <si>
    <t>LWD - May 6, 2026</t>
  </si>
  <si>
    <t>004F4O744</t>
  </si>
  <si>
    <t>004F4O</t>
  </si>
  <si>
    <t>LWD 26Jun2026</t>
  </si>
  <si>
    <t>Backfill of Nalamati Renuka Devi</t>
  </si>
  <si>
    <t>Hemanth Chandra N</t>
  </si>
  <si>
    <t>0063UP744</t>
  </si>
  <si>
    <t>0063UP</t>
  </si>
  <si>
    <t>LWD 12Jun026</t>
  </si>
  <si>
    <t>Backfill of Srushti Shindkar</t>
  </si>
  <si>
    <t>Yogishwar N S</t>
  </si>
  <si>
    <t>005ZG1744</t>
  </si>
  <si>
    <t>005ZG1</t>
  </si>
  <si>
    <t>LWD 8th Jun2026</t>
  </si>
  <si>
    <t>Neeraj Kumar Backfill</t>
  </si>
  <si>
    <t>Amey Sawant</t>
  </si>
  <si>
    <t>005GGP744</t>
  </si>
  <si>
    <t>005GGP</t>
  </si>
  <si>
    <t>Rolloff</t>
  </si>
  <si>
    <t>LWD 15thMay2026</t>
  </si>
  <si>
    <t>Neeraj Kumar Shukla</t>
  </si>
  <si>
    <t>Full FTE moved to P6TY0</t>
  </si>
  <si>
    <t>LWD 1st May2026</t>
  </si>
  <si>
    <t>Krisia Mele Montealegre</t>
  </si>
  <si>
    <t>0F1725649</t>
  </si>
  <si>
    <t>0F1725</t>
  </si>
  <si>
    <t>Sreehari Panthangi Sonduri</t>
  </si>
  <si>
    <t>Harshada Singh</t>
  </si>
  <si>
    <t>Supriya H</t>
  </si>
  <si>
    <t>003HKN744</t>
  </si>
  <si>
    <t>003HKN</t>
  </si>
  <si>
    <t>001AH8744</t>
  </si>
  <si>
    <t>001AH8</t>
  </si>
  <si>
    <t>Naveen Alphonse</t>
  </si>
  <si>
    <t>S&amp;M Arechitech</t>
  </si>
  <si>
    <t>Jastegh Singh</t>
  </si>
  <si>
    <t>LWD - Jun 22,2026</t>
  </si>
  <si>
    <t>LWD -Aug  31, 2026</t>
  </si>
  <si>
    <t>Yamini Konda</t>
  </si>
  <si>
    <t>LWD - Jun 19,2026</t>
  </si>
  <si>
    <t>Navin Arbatti</t>
  </si>
  <si>
    <t>Kanimozhi N</t>
  </si>
  <si>
    <t>Meghana Tulasi Challapalli</t>
  </si>
  <si>
    <t>004Q4K744</t>
  </si>
  <si>
    <t>004Q4K</t>
  </si>
  <si>
    <t>0053ON744</t>
  </si>
  <si>
    <t>0053ON</t>
  </si>
  <si>
    <t>0069W7744</t>
  </si>
  <si>
    <t>0069W7</t>
  </si>
  <si>
    <t>COIMBATORE</t>
  </si>
  <si>
    <t>0G2362649</t>
  </si>
  <si>
    <t>0G2362</t>
  </si>
  <si>
    <t>LWD - Jun 5, 2026</t>
  </si>
  <si>
    <t>000EDI744</t>
  </si>
  <si>
    <t>000EDI</t>
  </si>
  <si>
    <t>Snehansu Mohapatra</t>
  </si>
  <si>
    <t>002ICM744</t>
  </si>
  <si>
    <t>002ICM</t>
  </si>
  <si>
    <t>Jyoti Chauhan Singh</t>
  </si>
  <si>
    <t>0063AO744</t>
  </si>
  <si>
    <t>0063AO</t>
  </si>
  <si>
    <t>CVY5ANCA3</t>
  </si>
  <si>
    <t>CVY5AN</t>
  </si>
  <si>
    <t>LWD 22May2026. Identify backfill</t>
  </si>
  <si>
    <t>0F2976649</t>
  </si>
  <si>
    <t>0F2976</t>
  </si>
  <si>
    <t>0F3112649</t>
  </si>
  <si>
    <t>0F3112</t>
  </si>
  <si>
    <t>VIJAY KUMAR DASARI</t>
  </si>
  <si>
    <t>Partial billing on Project work</t>
  </si>
  <si>
    <t>Tejaswani Pendoti</t>
  </si>
  <si>
    <t>07157Q744</t>
  </si>
  <si>
    <t>07157Q</t>
  </si>
  <si>
    <t xml:space="preserve">0B6436649 </t>
  </si>
  <si>
    <t xml:space="preserve">0B6436 </t>
  </si>
  <si>
    <t>096663</t>
  </si>
  <si>
    <t>096663744</t>
  </si>
  <si>
    <t>SVYKIZ744</t>
  </si>
  <si>
    <t>SVYKIZ</t>
  </si>
  <si>
    <t>010557744</t>
  </si>
  <si>
    <t>010557</t>
  </si>
  <si>
    <t>Ashish Kulkarni</t>
  </si>
  <si>
    <t>Nidhi Agarwal</t>
  </si>
  <si>
    <t>01695R744</t>
  </si>
  <si>
    <t>01695R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</si>
</sst>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0.0"/>
    <numFmt numFmtId="170" formatCode="_-[$$-409]* #,##0.00_ ;_-[$$-409]* \-#,##0.00\ ;_-[$$-409]* &quot;-&quot;??_ ;_-@_ "/>
  </numFmts>
  <fonts count="15">
    <font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2"/>
      <name val="????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8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</borders>
  <cellStyleXfs count="10">
    <xf numFmtId="0" fontId="0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3" fillId="0" borderId="0"/>
  </cellStyleXfs>
  <cellXfs count="140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6" fillId="0" borderId="6" xfId="0" applyFont="1" applyBorder="1"/>
    <xf numFmtId="0" fontId="6" fillId="0" borderId="11" xfId="0" applyFont="1" applyBorder="1"/>
    <xf numFmtId="0" fontId="6" fillId="0" borderId="8" xfId="0" applyFont="1" applyBorder="1"/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14" xfId="0" applyFont="1" applyFill="1" applyBorder="1"/>
    <xf numFmtId="0" fontId="5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7" borderId="3" xfId="0" applyFont="1" applyFill="1" applyBorder="1"/>
    <xf numFmtId="0" fontId="5" fillId="0" borderId="0" xfId="0" applyFont="1"/>
    <xf numFmtId="0" fontId="8" fillId="0" borderId="4" xfId="0" applyFont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2" fontId="8" fillId="0" borderId="5" xfId="0" quotePrefix="1" applyNumberFormat="1" applyFont="1" applyBorder="1" applyAlignment="1">
      <alignment horizontal="center"/>
    </xf>
    <xf numFmtId="0" fontId="7" fillId="0" borderId="0" xfId="0" applyFont="1"/>
    <xf numFmtId="0" fontId="7" fillId="0" borderId="6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9" borderId="6" xfId="0" applyFont="1" applyFill="1" applyBorder="1"/>
    <xf numFmtId="0" fontId="11" fillId="9" borderId="1" xfId="0" applyFont="1" applyFill="1" applyBorder="1" applyAlignment="1">
      <alignment horizontal="center"/>
    </xf>
    <xf numFmtId="0" fontId="11" fillId="9" borderId="1" xfId="0" applyFont="1" applyFill="1" applyBorder="1"/>
    <xf numFmtId="0" fontId="11" fillId="9" borderId="1" xfId="0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/>
    </xf>
    <xf numFmtId="165" fontId="11" fillId="9" borderId="1" xfId="2" applyNumberFormat="1" applyFont="1" applyFill="1" applyBorder="1" applyAlignment="1">
      <alignment horizontal="center"/>
    </xf>
    <xf numFmtId="2" fontId="11" fillId="9" borderId="7" xfId="0" quotePrefix="1" applyNumberFormat="1" applyFont="1" applyFill="1" applyBorder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17" fontId="8" fillId="5" borderId="4" xfId="0" quotePrefix="1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10" borderId="3" xfId="0" applyFont="1" applyFill="1" applyBorder="1"/>
    <xf numFmtId="0" fontId="8" fillId="10" borderId="4" xfId="0" applyFont="1" applyFill="1" applyBorder="1" applyAlignment="1">
      <alignment horizontal="center"/>
    </xf>
    <xf numFmtId="17" fontId="8" fillId="10" borderId="4" xfId="0" quotePrefix="1" applyNumberFormat="1" applyFont="1" applyFill="1" applyBorder="1" applyAlignment="1">
      <alignment horizontal="center"/>
    </xf>
    <xf numFmtId="165" fontId="0" fillId="0" borderId="0" xfId="0" applyNumberFormat="1"/>
    <xf numFmtId="167" fontId="0" fillId="0" borderId="0" xfId="0" applyNumberFormat="1" applyAlignment="1">
      <alignment horizontal="left"/>
    </xf>
    <xf numFmtId="167" fontId="0" fillId="0" borderId="1" xfId="0" applyNumberFormat="1" applyBorder="1"/>
    <xf numFmtId="167" fontId="0" fillId="0" borderId="0" xfId="0" applyNumberFormat="1"/>
    <xf numFmtId="166" fontId="0" fillId="0" borderId="0" xfId="0" applyNumberFormat="1"/>
    <xf numFmtId="167" fontId="0" fillId="0" borderId="1" xfId="1" applyNumberFormat="1" applyFont="1" applyBorder="1"/>
    <xf numFmtId="167" fontId="0" fillId="0" borderId="0" xfId="1" applyNumberFormat="1" applyFont="1" applyFill="1"/>
    <xf numFmtId="0" fontId="0" fillId="0" borderId="1" xfId="0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17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167" fontId="2" fillId="0" borderId="0" xfId="0" applyNumberFormat="1" applyFont="1" applyAlignment="1">
      <alignment horizontal="left"/>
    </xf>
    <xf numFmtId="167" fontId="2" fillId="3" borderId="2" xfId="0" applyNumberFormat="1" applyFont="1" applyFill="1" applyBorder="1"/>
    <xf numFmtId="167" fontId="2" fillId="0" borderId="0" xfId="0" applyNumberFormat="1" applyFont="1"/>
    <xf numFmtId="168" fontId="2" fillId="0" borderId="0" xfId="1" applyNumberFormat="1" applyFont="1" applyAlignment="1">
      <alignment horizontal="left"/>
    </xf>
    <xf numFmtId="168" fontId="2" fillId="3" borderId="1" xfId="1" applyNumberFormat="1" applyFont="1" applyFill="1" applyBorder="1"/>
    <xf numFmtId="168" fontId="2" fillId="0" borderId="0" xfId="1" applyNumberFormat="1" applyFont="1"/>
    <xf numFmtId="0" fontId="2" fillId="0" borderId="0" xfId="0" applyFont="1" applyAlignment="1">
      <alignment horizontal="left"/>
    </xf>
    <xf numFmtId="166" fontId="2" fillId="3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0" fontId="5" fillId="7" borderId="6" xfId="0" applyFont="1" applyFill="1" applyBorder="1"/>
    <xf numFmtId="0" fontId="5" fillId="7" borderId="7" xfId="0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11" fillId="9" borderId="1" xfId="0" applyFont="1" applyFill="1" applyBorder="1" applyAlignment="1">
      <alignment horizontal="left" vertical="center"/>
    </xf>
    <xf numFmtId="169" fontId="0" fillId="0" borderId="0" xfId="0" applyNumberFormat="1"/>
    <xf numFmtId="0" fontId="5" fillId="0" borderId="6" xfId="0" applyFont="1" applyBorder="1"/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10" fillId="0" borderId="1" xfId="0" quotePrefix="1" applyFont="1" applyBorder="1" applyAlignment="1">
      <alignment horizontal="left"/>
    </xf>
    <xf numFmtId="1" fontId="10" fillId="0" borderId="15" xfId="0" applyNumberFormat="1" applyFont="1" applyBorder="1" applyAlignment="1">
      <alignment horizontal="center"/>
    </xf>
    <xf numFmtId="0" fontId="10" fillId="0" borderId="6" xfId="0" applyFont="1" applyBorder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center" wrapText="1"/>
    </xf>
    <xf numFmtId="2" fontId="10" fillId="0" borderId="7" xfId="0" applyNumberFormat="1" applyFont="1" applyBorder="1" applyAlignment="1">
      <alignment horizontal="center"/>
    </xf>
    <xf numFmtId="2" fontId="10" fillId="0" borderId="7" xfId="0" quotePrefix="1" applyNumberFormat="1" applyFont="1" applyBorder="1" applyAlignment="1">
      <alignment horizontal="center"/>
    </xf>
    <xf numFmtId="15" fontId="10" fillId="0" borderId="1" xfId="0" applyNumberFormat="1" applyFont="1" applyBorder="1" applyAlignment="1">
      <alignment horizontal="left"/>
    </xf>
    <xf numFmtId="0" fontId="10" fillId="0" borderId="1" xfId="0" applyFont="1" applyBorder="1"/>
    <xf numFmtId="49" fontId="10" fillId="0" borderId="1" xfId="0" applyNumberFormat="1" applyFont="1" applyBorder="1"/>
    <xf numFmtId="0" fontId="10" fillId="0" borderId="1" xfId="0" quotePrefix="1" applyFont="1" applyBorder="1"/>
    <xf numFmtId="0" fontId="10" fillId="0" borderId="1" xfId="0" applyFont="1" applyBorder="1" applyAlignment="1">
      <alignment horizontal="center" vertical="top"/>
    </xf>
    <xf numFmtId="15" fontId="10" fillId="0" borderId="1" xfId="0" applyNumberFormat="1" applyFont="1" applyBorder="1"/>
    <xf numFmtId="11" fontId="10" fillId="0" borderId="1" xfId="0" quotePrefix="1" applyNumberFormat="1" applyFont="1" applyBorder="1" applyAlignment="1">
      <alignment horizontal="left" vertical="center"/>
    </xf>
    <xf numFmtId="15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7" fillId="0" borderId="7" xfId="0" quotePrefix="1" applyNumberFormat="1" applyFont="1" applyBorder="1" applyAlignment="1">
      <alignment horizontal="center"/>
    </xf>
    <xf numFmtId="0" fontId="0" fillId="13" borderId="0" xfId="0" applyFill="1"/>
    <xf numFmtId="0" fontId="0" fillId="0" borderId="0" xfId="0" pivotButton="1"/>
    <xf numFmtId="1" fontId="7" fillId="0" borderId="0" xfId="0" applyNumberFormat="1" applyFont="1"/>
    <xf numFmtId="170" fontId="10" fillId="0" borderId="1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15" fontId="10" fillId="0" borderId="1" xfId="0" quotePrefix="1" applyNumberFormat="1" applyFont="1" applyBorder="1"/>
    <xf numFmtId="0" fontId="10" fillId="12" borderId="1" xfId="0" applyFont="1" applyFill="1" applyBorder="1" applyAlignment="1">
      <alignment horizontal="left" vertical="center"/>
    </xf>
    <xf numFmtId="1" fontId="6" fillId="0" borderId="0" xfId="0" applyNumberFormat="1" applyFont="1"/>
    <xf numFmtId="0" fontId="5" fillId="5" borderId="0" xfId="0" applyFont="1" applyFill="1"/>
    <xf numFmtId="9" fontId="7" fillId="0" borderId="0" xfId="1" applyFont="1" applyAlignment="1">
      <alignment horizontal="center"/>
    </xf>
    <xf numFmtId="0" fontId="10" fillId="14" borderId="1" xfId="0" applyFont="1" applyFill="1" applyBorder="1"/>
    <xf numFmtId="0" fontId="10" fillId="14" borderId="1" xfId="0" applyFont="1" applyFill="1" applyBorder="1" applyAlignment="1">
      <alignment horizontal="left" vertical="center"/>
    </xf>
    <xf numFmtId="1" fontId="10" fillId="0" borderId="1" xfId="0" quotePrefix="1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165" fontId="10" fillId="0" borderId="1" xfId="2" applyNumberFormat="1" applyFont="1" applyFill="1" applyBorder="1"/>
    <xf numFmtId="2" fontId="10" fillId="0" borderId="1" xfId="0" quotePrefix="1" applyNumberFormat="1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" fontId="10" fillId="0" borderId="1" xfId="0" applyNumberFormat="1" applyFont="1" applyBorder="1"/>
    <xf numFmtId="0" fontId="10" fillId="0" borderId="1" xfId="0" quotePrefix="1" applyFont="1" applyBorder="1" applyAlignment="1">
      <alignment horizontal="center" vertical="center"/>
    </xf>
    <xf numFmtId="0" fontId="10" fillId="0" borderId="1" xfId="9" applyFont="1" applyBorder="1" applyAlignment="1">
      <alignment horizontal="left" vertical="top"/>
    </xf>
    <xf numFmtId="0" fontId="10" fillId="12" borderId="1" xfId="0" quotePrefix="1" applyFont="1" applyFill="1" applyBorder="1" applyAlignment="1">
      <alignment horizontal="left"/>
    </xf>
    <xf numFmtId="2" fontId="10" fillId="0" borderId="1" xfId="0" applyNumberFormat="1" applyFont="1" applyBorder="1"/>
    <xf numFmtId="0" fontId="10" fillId="12" borderId="1" xfId="0" applyFont="1" applyFill="1" applyBorder="1" applyAlignment="1">
      <alignment horizontal="left"/>
    </xf>
    <xf numFmtId="0" fontId="10" fillId="0" borderId="1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5" fillId="8" borderId="2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0" fillId="0" borderId="0" xfId="0" applyFill="1"/>
  </cellXfs>
  <cellStyles count="10">
    <cellStyle name="??" xfId="9" xr:uid="{63093DEF-0321-4C30-9A0B-BD0EBBB28D54}"/>
    <cellStyle name="Currency" xfId="2" builtinId="4"/>
    <cellStyle name="Normal" xfId="0" builtinId="0"/>
    <cellStyle name="Normal 2" xfId="4" xr:uid="{00000000-0005-0000-0000-000007000000}"/>
    <cellStyle name="Normal 2 2" xfId="8" xr:uid="{00000000-0005-0000-0000-00000B000000}"/>
    <cellStyle name="Normal 3" xfId="5" xr:uid="{00000000-0005-0000-0000-000008000000}"/>
    <cellStyle name="Normal 4" xfId="6" xr:uid="{00000000-0005-0000-0000-000009000000}"/>
    <cellStyle name="Percent" xfId="1" builtinId="5"/>
    <cellStyle name="Percent 2" xfId="7" xr:uid="{00000000-0005-0000-0000-00000A000000}"/>
    <cellStyle name="Style 1" xfId="3" xr:uid="{00000000-0005-0000-0000-000006000000}"/>
  </cellStyles>
  <dxfs count="10"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F7C2A7"/>
      <color rgb="FFFEECE8"/>
      <color rgb="FFFDF2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prakash R Yadav" refreshedDate="46174.985065046298" createdVersion="8" refreshedVersion="8" minRefreshableVersion="3" recordCount="393" xr:uid="{CB12DD7A-218C-C54A-B3FA-D1E6D8E1A7B7}">
  <cacheSource type="worksheet">
    <worksheetSource ref="A1:AM394" sheet="Forecast details 2026"/>
  </cacheSource>
  <cacheFields count="39">
    <cacheField name="Corporate" numFmtId="0">
      <sharedItems/>
    </cacheField>
    <cacheField name="Pcode" numFmtId="0">
      <sharedItems count="19">
        <s v="P6TYZ"/>
        <s v="RARV6"/>
        <s v="RARV5"/>
        <s v="RATF0"/>
        <s v="RAK0J"/>
        <s v="RAT5N"/>
        <s v="RAK0Y"/>
        <s v="RAL89"/>
        <s v="RAN49"/>
        <s v="RAS04"/>
        <s v="RAQ3P"/>
        <s v="RAQML"/>
        <s v="RAQMM"/>
        <s v="RASZP"/>
        <s v="RAK00"/>
        <s v="RATV0"/>
        <s v="RATV5"/>
        <s v="P6TY0"/>
        <s v="TBD" u="1"/>
      </sharedItems>
    </cacheField>
    <cacheField name="Emp ID" numFmtId="0">
      <sharedItems containsBlank="1" containsMixedTypes="1" containsNumber="1" containsInteger="1" minValue="62992" maxValue="917060"/>
    </cacheField>
    <cacheField name="Talent ID" numFmtId="0">
      <sharedItems containsBlank="1" containsMixedTypes="1" containsNumber="1" containsInteger="1" minValue="917060744" maxValue="917060744"/>
    </cacheField>
    <cacheField name="Resource full name" numFmtId="0">
      <sharedItems containsBlank="1"/>
    </cacheField>
    <cacheField name="Emp Country" numFmtId="0">
      <sharedItems containsBlank="1"/>
    </cacheField>
    <cacheField name="Blue Page Location" numFmtId="0">
      <sharedItems containsBlank="1"/>
    </cacheField>
    <cacheField name="Band" numFmtId="0">
      <sharedItems containsBlank="1" containsMixedTypes="1" containsNumber="1" containsInteger="1" minValue="4" maxValue="10"/>
    </cacheField>
    <cacheField name="Cost Rate (CAD)" numFmtId="170">
      <sharedItems containsString="0" containsBlank="1" containsNumber="1" minValue="9" maxValue="333.5"/>
    </cacheField>
    <cacheField name="Manager" numFmtId="0">
      <sharedItems containsBlank="1"/>
    </cacheField>
    <cacheField name="Team" numFmtId="0">
      <sharedItems containsBlank="1"/>
    </cacheField>
    <cacheField name="Category" numFmtId="0">
      <sharedItems/>
    </cacheField>
    <cacheField name="IPPF Category" numFmtId="0">
      <sharedItems count="6">
        <s v="GDC"/>
        <s v="NonGDC"/>
        <s v="Broker Uplift"/>
        <s v="Expenses"/>
        <s v="Standby"/>
        <s v="Subs"/>
      </sharedItems>
    </cacheField>
    <cacheField name="Jan-26" numFmtId="1">
      <sharedItems containsString="0" containsBlank="1" containsNumber="1" minValue="31" maxValue="174.6"/>
    </cacheField>
    <cacheField name="Feb-26" numFmtId="1">
      <sharedItems containsString="0" containsBlank="1" containsNumber="1" minValue="31" maxValue="171"/>
    </cacheField>
    <cacheField name="Mar-26" numFmtId="1">
      <sharedItems containsString="0" containsBlank="1" containsNumber="1" minValue="39" maxValue="218.25"/>
    </cacheField>
    <cacheField name="Apr-26" numFmtId="1">
      <sharedItems containsString="0" containsBlank="1" containsNumber="1" minValue="0" maxValue="180"/>
    </cacheField>
    <cacheField name="May-26" numFmtId="1">
      <sharedItems containsString="0" containsBlank="1" containsNumber="1" minValue="0" maxValue="171"/>
    </cacheField>
    <cacheField name="Jun-26" numFmtId="1">
      <sharedItems containsString="0" containsBlank="1" containsNumber="1" minValue="0" maxValue="225"/>
    </cacheField>
    <cacheField name="Jul-26" numFmtId="1">
      <sharedItems containsString="0" containsBlank="1" containsNumber="1" minValue="0" maxValue="174.6"/>
    </cacheField>
    <cacheField name="Aug-26" numFmtId="1">
      <sharedItems containsString="0" containsBlank="1" containsNumber="1" minValue="0" maxValue="218.25"/>
    </cacheField>
    <cacheField name="Sep-26" numFmtId="1">
      <sharedItems containsString="0" containsBlank="1" containsNumber="1" minValue="0" maxValue="171"/>
    </cacheField>
    <cacheField name="Oct-26" numFmtId="1">
      <sharedItems containsString="0" containsBlank="1" containsNumber="1" minValue="0" maxValue="174.6"/>
    </cacheField>
    <cacheField name="Nov-26" numFmtId="1">
      <sharedItems containsString="0" containsBlank="1" containsNumber="1" minValue="0" maxValue="218.25"/>
    </cacheField>
    <cacheField name="Dec-26" numFmtId="1">
      <sharedItems containsString="0" containsBlank="1" containsNumber="1" minValue="0" maxValue="171"/>
    </cacheField>
    <cacheField name="Comments" numFmtId="0">
      <sharedItems containsBlank="1"/>
    </cacheField>
    <cacheField name="Jan-26 Cost" numFmtId="165">
      <sharedItems containsString="0" containsBlank="1" containsNumber="1" minValue="0" maxValue="53465.436749999993"/>
    </cacheField>
    <cacheField name="Feb-26 Cost" numFmtId="165">
      <sharedItems containsString="0" containsBlank="1" containsNumber="1" minValue="0" maxValue="54541.839749999985"/>
    </cacheField>
    <cacheField name="Mar-26 Cost" numFmtId="165">
      <sharedItems containsString="0" containsBlank="1" containsNumber="1" minValue="0" maxValue="69862.253249999965"/>
    </cacheField>
    <cacheField name="Apr-26 Cost" numFmtId="165">
      <sharedItems containsString="0" containsBlank="1" containsNumber="1" minValue="0" maxValue="54009.075749999996"/>
    </cacheField>
    <cacheField name="May-26 Cost" numFmtId="165">
      <sharedItems containsString="0" containsBlank="1" containsNumber="1" minValue="0" maxValue="51342.902249999985"/>
    </cacheField>
    <cacheField name="June-26 Cost" numFmtId="165">
      <sharedItems containsString="0" containsBlank="1" containsNumber="1" minValue="0" maxValue="64421.928749999963"/>
    </cacheField>
    <cacheField name="July-26 Cost" numFmtId="165">
      <sharedItems containsString="0" containsBlank="1" containsNumber="1" minValue="0" maxValue="54593.054999999986"/>
    </cacheField>
    <cacheField name="Aug-26 Cost" numFmtId="165">
      <sharedItems containsString="0" containsBlank="1" containsNumber="1" minValue="0" maxValue="66842.118000000002"/>
    </cacheField>
    <cacheField name="Sep-26 Cost" numFmtId="165">
      <sharedItems containsString="0" containsBlank="1" containsNumber="1" minValue="0" maxValue="50692"/>
    </cacheField>
    <cacheField name="Oct-26 Cost" numFmtId="165">
      <sharedItems containsString="0" containsBlank="1" containsNumber="1" minValue="0" maxValue="50692"/>
    </cacheField>
    <cacheField name="Nov-26 Cost" numFmtId="165">
      <sharedItems containsString="0" containsBlank="1" containsNumber="1" minValue="0" maxValue="65814.305999999997"/>
    </cacheField>
    <cacheField name="Dec-26 Cost" numFmtId="165">
      <sharedItems containsString="0" containsBlank="1" containsNumber="1" minValue="0" maxValue="50692"/>
    </cacheField>
    <cacheField name="Capacity" numFmtId="2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s v="Corporate"/>
    <x v="0"/>
    <s v="08993B"/>
    <s v="08993B744"/>
    <s v="Abhay B Mishal"/>
    <s v="India"/>
    <s v="Pune"/>
    <n v="9"/>
    <n v="61"/>
    <s v="Sudheer"/>
    <s v="SAP Management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10650.6"/>
    <n v="10118.07"/>
    <n v="12248.189999999999"/>
    <n v="10650.6"/>
    <n v="10118.07"/>
    <n v="12780.72"/>
    <n v="10650.6"/>
    <n v="13313.25"/>
    <n v="10118.07"/>
    <n v="9585.5399999999991"/>
    <n v="12780.72"/>
    <n v="10118.07"/>
    <n v="1"/>
  </r>
  <r>
    <s v="Corporate"/>
    <x v="0"/>
    <s v="010557"/>
    <s v="010557744"/>
    <s v="Ashish Kulkarni"/>
    <s v="India"/>
    <s v="Pune"/>
    <n v="9"/>
    <n v="61"/>
    <s v="Sudheer"/>
    <s v="SAP Management"/>
    <s v="GDC Labor"/>
    <x v="0"/>
    <m/>
    <m/>
    <m/>
    <m/>
    <m/>
    <n v="209.51999999999998"/>
    <n v="174.6"/>
    <n v="218.25"/>
    <n v="165.87"/>
    <n v="157.13999999999999"/>
    <n v="209.51999999999998"/>
    <n v="165.87"/>
    <m/>
    <n v="0"/>
    <n v="0"/>
    <n v="0"/>
    <n v="0"/>
    <n v="0"/>
    <n v="12780.72"/>
    <n v="10650.6"/>
    <n v="13313.25"/>
    <n v="10118.07"/>
    <n v="9585.5399999999991"/>
    <n v="12780.72"/>
    <n v="10118.07"/>
    <n v="1"/>
  </r>
  <r>
    <s v="Corporate"/>
    <x v="0"/>
    <s v="002ODP"/>
    <s v="002ODP744"/>
    <s v="Mukul Koranne"/>
    <s v="India"/>
    <s v="Pune"/>
    <n v="8"/>
    <n v="41"/>
    <s v="Sudheer"/>
    <s v="SAP Management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7158.5999999999995"/>
    <n v="6800.67"/>
    <n v="8232.39"/>
    <n v="7158.5999999999995"/>
    <n v="6800.67"/>
    <n v="8590.32"/>
    <n v="7158.5999999999995"/>
    <n v="8948.25"/>
    <n v="6800.67"/>
    <n v="6442.74"/>
    <n v="8590.32"/>
    <n v="6800.67"/>
    <n v="1"/>
  </r>
  <r>
    <s v="Corporate"/>
    <x v="0"/>
    <s v="01695R"/>
    <s v="01695R744"/>
    <s v="Nidhi Agarwal"/>
    <s v="India"/>
    <s v="Pune"/>
    <n v="8"/>
    <n v="41"/>
    <s v="Sudheer"/>
    <s v="SAP Management"/>
    <s v="GDC Labor"/>
    <x v="0"/>
    <m/>
    <m/>
    <m/>
    <m/>
    <m/>
    <n v="150"/>
    <n v="174.6"/>
    <n v="218.25"/>
    <n v="165.87"/>
    <n v="157.13999999999999"/>
    <n v="209.51999999999998"/>
    <n v="165.87"/>
    <m/>
    <n v="0"/>
    <n v="0"/>
    <n v="0"/>
    <n v="0"/>
    <n v="0"/>
    <n v="6150"/>
    <n v="7158.5999999999995"/>
    <n v="8948.25"/>
    <n v="6800.67"/>
    <n v="6442.74"/>
    <n v="8590.32"/>
    <n v="6800.67"/>
    <n v="1"/>
  </r>
  <r>
    <s v="Corporate"/>
    <x v="0"/>
    <s v="147917"/>
    <s v="147917PH1"/>
    <s v="BENNISON M. PAZ"/>
    <s v="PH"/>
    <s v="Philippines"/>
    <n v="8"/>
    <n v="50.5"/>
    <s v="Sudheer"/>
    <s v="SAP Management"/>
    <s v="GDC Labor"/>
    <x v="0"/>
    <n v="42"/>
    <n v="42"/>
    <n v="55"/>
    <n v="38"/>
    <n v="42"/>
    <n v="53"/>
    <n v="44"/>
    <n v="51"/>
    <n v="42"/>
    <n v="44"/>
    <n v="55"/>
    <n v="38"/>
    <m/>
    <n v="2121"/>
    <n v="2121"/>
    <n v="2777.5"/>
    <n v="1919"/>
    <n v="2121"/>
    <n v="2676.5"/>
    <n v="2222"/>
    <n v="2575.5"/>
    <n v="2121"/>
    <n v="2222"/>
    <n v="2777.5"/>
    <n v="1919"/>
    <n v="0.25"/>
  </r>
  <r>
    <s v="Corporate"/>
    <x v="0"/>
    <s v="850210"/>
    <s v="850210744"/>
    <s v="NIKITA AGRAWAL"/>
    <s v="India"/>
    <s v="Navi Mumbai"/>
    <n v="8"/>
    <n v="41"/>
    <s v="Nikita Agrawal"/>
    <s v="Manage Supply and Products - STO"/>
    <s v="GDC Labor"/>
    <x v="0"/>
    <n v="174.6"/>
    <n v="165.87"/>
    <n v="200.79"/>
    <n v="44"/>
    <n v="40"/>
    <n v="51"/>
    <m/>
    <m/>
    <m/>
    <m/>
    <m/>
    <m/>
    <s v="Full FTE moved to P6TY0"/>
    <n v="7158.5999999999995"/>
    <n v="6800.67"/>
    <n v="8232.39"/>
    <n v="1804"/>
    <n v="1640"/>
    <n v="2091"/>
    <n v="0"/>
    <n v="0"/>
    <n v="0"/>
    <n v="0"/>
    <n v="0"/>
    <n v="0"/>
    <n v="0.25"/>
  </r>
  <r>
    <s v="Corporate"/>
    <x v="0"/>
    <m/>
    <s v=""/>
    <m/>
    <m/>
    <m/>
    <m/>
    <m/>
    <m/>
    <m/>
    <s v="Non GDC Labor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m/>
  </r>
  <r>
    <s v="Corporate"/>
    <x v="0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4063.3199999999997"/>
    <n v="3876.0614999999993"/>
    <n v="4723.5704999999998"/>
    <n v="3229.83"/>
    <n v="3101.9609999999998"/>
    <n v="6760.3889999999992"/>
    <n v="5676.06"/>
    <n v="7064.7749999999996"/>
    <n v="5393.771999999999"/>
    <n v="5141.7839999999997"/>
    <n v="6827.936999999999"/>
    <n v="5363.4719999999998"/>
    <m/>
  </r>
  <r>
    <s v="Corporate"/>
    <x v="0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Corporate"/>
    <x v="0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648"/>
    <n v="648"/>
    <n v="810"/>
    <n v="648"/>
    <n v="648"/>
    <n v="810"/>
    <n v="648"/>
    <n v="810"/>
    <n v="648"/>
    <n v="648"/>
    <n v="810"/>
    <n v="648"/>
    <m/>
  </r>
  <r>
    <s v="Persistent"/>
    <x v="1"/>
    <s v="000OTZ"/>
    <s v="000OTZ744"/>
    <s v="Anusha Math"/>
    <s v="India"/>
    <s v="Hyderabad"/>
    <s v="6B"/>
    <n v="19"/>
    <s v="Prashant Kiran"/>
    <s v="Power BI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1"/>
    <s v="00222U"/>
    <s v="00222U744"/>
    <s v="Bhajanthri Gokul"/>
    <s v="India"/>
    <s v="Hyderabad"/>
    <s v="6B"/>
    <n v="19"/>
    <s v="Prashant Kiran"/>
    <s v="Power BI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1"/>
    <s v="03878N"/>
    <s v="03878N744"/>
    <s v="Shovan Mandal"/>
    <s v="Landed"/>
    <s v="Canada"/>
    <n v="7"/>
    <n v="30.5"/>
    <s v="Prashant Kiran"/>
    <s v="Power BI"/>
    <s v="Non GDC Labor"/>
    <x v="1"/>
    <n v="152"/>
    <m/>
    <m/>
    <n v="160"/>
    <m/>
    <m/>
    <n v="152"/>
    <n v="192"/>
    <n v="152"/>
    <n v="152"/>
    <n v="192"/>
    <n v="152"/>
    <m/>
    <n v="4636"/>
    <n v="0"/>
    <n v="0"/>
    <n v="4880"/>
    <n v="0"/>
    <n v="0"/>
    <n v="4636"/>
    <n v="5856"/>
    <n v="4636"/>
    <n v="4636"/>
    <n v="5856"/>
    <n v="4636"/>
    <n v="1"/>
  </r>
  <r>
    <s v="Persistent"/>
    <x v="1"/>
    <s v="03878N"/>
    <s v="03878N744"/>
    <s v="Shovan Mandal"/>
    <s v="India"/>
    <s v="Kolkata"/>
    <n v="7"/>
    <n v="30.5"/>
    <s v="Prashant Kiran"/>
    <s v="Power BI"/>
    <s v="Non GDC Labor"/>
    <x v="1"/>
    <m/>
    <n v="152"/>
    <n v="156"/>
    <m/>
    <n v="166"/>
    <n v="201"/>
    <m/>
    <m/>
    <m/>
    <m/>
    <m/>
    <m/>
    <m/>
    <n v="0"/>
    <n v="4636"/>
    <n v="4758"/>
    <n v="0"/>
    <n v="5063"/>
    <n v="6130.5"/>
    <n v="0"/>
    <n v="0"/>
    <n v="0"/>
    <n v="0"/>
    <n v="0"/>
    <n v="0"/>
    <n v="1"/>
  </r>
  <r>
    <s v="Persistent"/>
    <x v="1"/>
    <m/>
    <s v=""/>
    <m/>
    <m/>
    <m/>
    <m/>
    <m/>
    <m/>
    <m/>
    <s v="Non GDC Labor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"/>
  </r>
  <r>
    <s v="Persistent"/>
    <x v="1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945.45900000000006"/>
    <n v="1640.8590000000002"/>
    <n v="1907.9639999999997"/>
    <n v="995.22"/>
    <n v="1704.9090000000001"/>
    <n v="2064.078"/>
    <n v="995.22"/>
    <n v="1244.0249999999999"/>
    <n v="945.45900000000006"/>
    <n v="895.69799999999998"/>
    <n v="1244.0249999999999"/>
    <n v="945.45900000000006"/>
    <m/>
  </r>
  <r>
    <s v="Persistent"/>
    <x v="1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1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2"/>
    <s v="0047ZX"/>
    <s v="0047ZX744"/>
    <s v="Naresh Chintala"/>
    <s v="Landed"/>
    <s v="Canada"/>
    <n v="7"/>
    <n v="112"/>
    <s v="Mukul Koranne"/>
    <s v="SAP Security"/>
    <s v="Non GDC Labor"/>
    <x v="1"/>
    <n v="152"/>
    <n v="152"/>
    <n v="192"/>
    <n v="160"/>
    <n v="152"/>
    <n v="200"/>
    <n v="152"/>
    <n v="192"/>
    <n v="152"/>
    <n v="152"/>
    <n v="192"/>
    <n v="152"/>
    <m/>
    <n v="17024"/>
    <n v="17024"/>
    <n v="21504"/>
    <n v="17920"/>
    <n v="17024"/>
    <n v="22400"/>
    <n v="17024"/>
    <n v="21504"/>
    <n v="17024"/>
    <n v="17024"/>
    <n v="21504"/>
    <n v="17024"/>
    <n v="1"/>
  </r>
  <r>
    <s v="Persistent"/>
    <x v="2"/>
    <s v="002OMG"/>
    <s v="002OMG744"/>
    <s v="DIPTI BALKRISHNA MESHRAM"/>
    <s v="India"/>
    <s v="Pune"/>
    <s v="6A"/>
    <n v="14"/>
    <s v="Mukul Koranne"/>
    <s v="SAP Security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2444.4"/>
    <n v="2322.1800000000003"/>
    <n v="2811.06"/>
    <n v="2444.4"/>
    <n v="2322.1800000000003"/>
    <n v="2933.2799999999997"/>
    <n v="2444.4"/>
    <n v="3055.5"/>
    <n v="2322.1800000000003"/>
    <n v="2199.96"/>
    <n v="2933.2799999999997"/>
    <n v="2322.1800000000003"/>
    <n v="1"/>
  </r>
  <r>
    <s v="Persistent"/>
    <x v="2"/>
    <s v="003WIB"/>
    <s v="003WIB744"/>
    <s v="Gopi Chand"/>
    <s v="India"/>
    <s v="Hyderabad"/>
    <s v="6A"/>
    <n v="14"/>
    <s v="Mukul Koranne"/>
    <s v="SAP Security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2322.1800000000003"/>
    <n v="2322.1800000000003"/>
    <n v="2933.2799999999997"/>
    <n v="2444.4"/>
    <n v="2322.1800000000003"/>
    <n v="2811.06"/>
    <n v="2444.4"/>
    <n v="3055.5"/>
    <n v="2322.1800000000003"/>
    <n v="2199.96"/>
    <n v="3055.5"/>
    <n v="2322.1800000000003"/>
    <n v="1"/>
  </r>
  <r>
    <s v="Persistent"/>
    <x v="2"/>
    <s v="005OON"/>
    <s v="005OON744"/>
    <s v="Battula Gurrappa"/>
    <s v="India"/>
    <s v="Pune"/>
    <s v="6G"/>
    <n v="12"/>
    <s v="Mukul Koranne"/>
    <s v="SAP Security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2095.1999999999998"/>
    <n v="1990.44"/>
    <n v="2409.48"/>
    <n v="2095.1999999999998"/>
    <n v="1990.44"/>
    <n v="2514.2399999999998"/>
    <n v="2095.1999999999998"/>
    <n v="2619"/>
    <n v="1990.44"/>
    <n v="1885.6799999999998"/>
    <n v="2514.2399999999998"/>
    <n v="1990.44"/>
    <n v="1"/>
  </r>
  <r>
    <s v="Persistent"/>
    <x v="2"/>
    <s v="002N3W"/>
    <s v="002N3W744"/>
    <s v="Alekhya Kanakala"/>
    <s v="India"/>
    <s v="Hyderabad"/>
    <s v="7A"/>
    <n v="29.5"/>
    <s v="Mukul Koranne"/>
    <s v="SAP Security"/>
    <s v="GDC Labor"/>
    <x v="0"/>
    <n v="45"/>
    <m/>
    <m/>
    <m/>
    <m/>
    <m/>
    <m/>
    <m/>
    <m/>
    <m/>
    <m/>
    <m/>
    <s v="LWD - Jan 2, 2026"/>
    <n v="1327.5"/>
    <n v="0"/>
    <n v="0"/>
    <n v="0"/>
    <n v="0"/>
    <n v="0"/>
    <n v="0"/>
    <n v="0"/>
    <n v="0"/>
    <n v="0"/>
    <n v="0"/>
    <n v="0"/>
    <n v="1"/>
  </r>
  <r>
    <s v="Persistent"/>
    <x v="2"/>
    <s v="004GHA"/>
    <s v="004GHA744"/>
    <s v="Santosh Prasad"/>
    <s v="India"/>
    <s v="Pune"/>
    <s v="7A"/>
    <n v="24.5"/>
    <s v="Mukul Koranne"/>
    <s v="SAP Security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4063.8150000000001"/>
    <n v="5133.24"/>
    <n v="4277.7"/>
    <n v="5347.125"/>
    <n v="4063.8150000000001"/>
    <n v="3849.93"/>
    <n v="5133.24"/>
    <n v="4063.8150000000001"/>
    <n v="1"/>
  </r>
  <r>
    <s v="Persistent"/>
    <x v="2"/>
    <s v="004FT1"/>
    <s v="004FT1744"/>
    <s v="Akanksha Tiwari"/>
    <s v="India"/>
    <s v="Pune"/>
    <s v="7A"/>
    <n v="24.5"/>
    <s v="Mukul Koranne"/>
    <s v="SAP Security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4063.8150000000001"/>
    <n v="5133.24"/>
    <n v="4277.7"/>
    <n v="5347.125"/>
    <n v="4063.8150000000001"/>
    <n v="3849.93"/>
    <n v="5133.24"/>
    <n v="4063.8150000000001"/>
    <n v="1"/>
  </r>
  <r>
    <s v="Persistent"/>
    <x v="2"/>
    <s v="004KXD"/>
    <s v="004KXD744"/>
    <s v="Pedireddi Polinaidu"/>
    <s v="India"/>
    <s v="Bhubaneswar"/>
    <s v="7A"/>
    <n v="23"/>
    <s v="Mukul Koranne"/>
    <s v="SAP Security"/>
    <s v="GDC Labor"/>
    <x v="0"/>
    <m/>
    <m/>
    <n v="200.79"/>
    <n v="174.6"/>
    <n v="165.87"/>
    <n v="209.51999999999998"/>
    <n v="174.6"/>
    <n v="218.25"/>
    <n v="165.87"/>
    <n v="157.13999999999999"/>
    <n v="209.51999999999998"/>
    <n v="165.87"/>
    <m/>
    <n v="0"/>
    <n v="0"/>
    <n v="4618.17"/>
    <n v="4015.7999999999997"/>
    <n v="3815.01"/>
    <n v="4818.9599999999991"/>
    <n v="4015.7999999999997"/>
    <n v="5019.75"/>
    <n v="3815.01"/>
    <n v="3614.22"/>
    <n v="4818.9599999999991"/>
    <n v="3815.01"/>
    <n v="1"/>
  </r>
  <r>
    <s v="Persistent"/>
    <x v="2"/>
    <s v="000E9S"/>
    <s v="000E9S744"/>
    <s v="Priyanka voorella"/>
    <s v="India"/>
    <s v="Hyderabad"/>
    <s v="6B"/>
    <n v="19"/>
    <s v="Mukul Koranne"/>
    <s v="SAP Security"/>
    <s v="GDC Labor"/>
    <x v="0"/>
    <n v="165.87"/>
    <n v="165.87"/>
    <m/>
    <m/>
    <m/>
    <m/>
    <m/>
    <m/>
    <m/>
    <m/>
    <m/>
    <m/>
    <s v="LWD - Feb 28, 2026"/>
    <n v="3151.53"/>
    <n v="3151.53"/>
    <n v="0"/>
    <n v="0"/>
    <n v="0"/>
    <n v="0"/>
    <n v="0"/>
    <n v="0"/>
    <n v="0"/>
    <n v="0"/>
    <n v="0"/>
    <n v="0"/>
    <n v="1"/>
  </r>
  <r>
    <s v="Persistent"/>
    <x v="2"/>
    <s v="002AHR"/>
    <s v="002AHR744"/>
    <s v="Yashi Agarwal"/>
    <s v="India"/>
    <s v="Navi Mumbai"/>
    <s v="6B"/>
    <n v="19"/>
    <s v="Mukul Koranne"/>
    <s v="SAP Security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3317.4"/>
    <n v="3151.53"/>
    <n v="3815.0099999999998"/>
    <n v="3317.4"/>
    <n v="3151.53"/>
    <n v="3980.8799999999997"/>
    <n v="3317.4"/>
    <n v="4146.75"/>
    <n v="3151.53"/>
    <n v="2985.66"/>
    <n v="3980.8799999999997"/>
    <n v="3151.53"/>
    <n v="1"/>
  </r>
  <r>
    <s v="Persistent"/>
    <x v="2"/>
    <s v="002YNA"/>
    <s v="002YNA744"/>
    <s v="Rajani S B"/>
    <s v="India"/>
    <s v="Bangalore"/>
    <s v="6B"/>
    <n v="19"/>
    <s v="Mukul Koranne"/>
    <s v="SAP Security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3151.53"/>
    <n v="3151.53"/>
    <n v="3980.8799999999997"/>
    <n v="3151.53"/>
    <n v="3151.53"/>
    <n v="3980.8799999999997"/>
    <n v="3317.4"/>
    <n v="4146.75"/>
    <n v="3151.53"/>
    <n v="2985.66"/>
    <n v="4146.75"/>
    <n v="3151.53"/>
    <n v="1"/>
  </r>
  <r>
    <s v="Persistent"/>
    <x v="2"/>
    <s v="002XQB"/>
    <s v="002XQB744"/>
    <s v="Padmavathi Katta"/>
    <s v="India"/>
    <s v="Hyderabad"/>
    <s v="6B"/>
    <n v="19"/>
    <s v="Mukul Koranne"/>
    <s v="SAP Security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2"/>
    <s v="005ADA"/>
    <s v="005ADA744"/>
    <s v="Manmayee Maharana"/>
    <s v="India"/>
    <s v="Bangalore"/>
    <s v="7B"/>
    <n v="30.5"/>
    <s v="Mukul Koranne"/>
    <s v="SAP Security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2"/>
    <s v="06436F"/>
    <s v="06436F744"/>
    <s v="Satyanarayana Patharlapalli"/>
    <s v="India"/>
    <s v="Hyderabad"/>
    <s v="7B"/>
    <n v="30.5"/>
    <s v="Mukul Koranne"/>
    <s v="SAP Security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2"/>
    <s v="SVRDMC"/>
    <s v="SVRDMC744"/>
    <s v="Aachal Rajendra Kadam"/>
    <s v="India"/>
    <s v="Pune"/>
    <n v="4"/>
    <n v="9"/>
    <s v="Mukul Koranne"/>
    <s v="SAP Security"/>
    <s v="GDC Labor"/>
    <x v="5"/>
    <n v="166.84"/>
    <n v="166.84"/>
    <n v="210.48999999999998"/>
    <n v="166.84"/>
    <n v="166.84"/>
    <n v="202.73"/>
    <n v="174.6"/>
    <n v="218.25"/>
    <n v="166.84"/>
    <n v="159.07999999999998"/>
    <n v="210.48999999999998"/>
    <n v="166.84"/>
    <m/>
    <n v="1501.56"/>
    <n v="1501.56"/>
    <n v="1894.4099999999999"/>
    <n v="1501.56"/>
    <n v="1501.56"/>
    <n v="1824.57"/>
    <n v="1571.3999999999999"/>
    <n v="1964.25"/>
    <n v="1501.56"/>
    <n v="1431.7199999999998"/>
    <n v="1894.4099999999999"/>
    <n v="1501.56"/>
    <n v="1"/>
  </r>
  <r>
    <s v="Persistent"/>
    <x v="2"/>
    <s v="SVRC3X"/>
    <s v="SVRC3X744"/>
    <s v="Umesh Anshabapu Bhangade"/>
    <s v="India"/>
    <s v="Pune"/>
    <n v="4"/>
    <n v="9"/>
    <s v="Mukul Koranne"/>
    <s v="SAP Security"/>
    <s v="GDC Labor"/>
    <x v="5"/>
    <n v="166.84"/>
    <n v="166.84"/>
    <n v="210.48999999999998"/>
    <n v="166.84"/>
    <n v="166.84"/>
    <n v="202.73"/>
    <n v="174.6"/>
    <n v="218.25"/>
    <n v="166.84"/>
    <n v="159.07999999999998"/>
    <n v="210.48999999999998"/>
    <n v="166.84"/>
    <m/>
    <n v="1501.56"/>
    <n v="1501.56"/>
    <n v="1894.4099999999999"/>
    <n v="1501.56"/>
    <n v="1501.56"/>
    <n v="1824.57"/>
    <n v="1571.3999999999999"/>
    <n v="1964.25"/>
    <n v="1501.56"/>
    <n v="1431.7199999999998"/>
    <n v="1894.4099999999999"/>
    <n v="1501.56"/>
    <n v="1"/>
  </r>
  <r>
    <s v="Persistent"/>
    <x v="2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6395.6790000000001"/>
    <n v="6073.4609999999984"/>
    <n v="7643.5514999999987"/>
    <n v="6409.3477499999999"/>
    <n v="6172.9830000000002"/>
    <n v="7692.6577500000003"/>
    <n v="6495.1200000000017"/>
    <n v="8118.9"/>
    <n v="6172.9830000000002"/>
    <n v="5850.8459999999995"/>
    <n v="7944.7365"/>
    <n v="6172.9830000000002"/>
    <m/>
  </r>
  <r>
    <s v="Persistent"/>
    <x v="2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000"/>
    <n v="2200"/>
    <n v="2000"/>
    <n v="2200"/>
    <n v="2000"/>
    <n v="2000"/>
    <n v="2200"/>
    <n v="2000"/>
    <m/>
  </r>
  <r>
    <s v="Persistent"/>
    <x v="2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1036.8"/>
    <n v="1036.8"/>
    <n v="1296"/>
    <n v="1036.8"/>
    <n v="1036.8"/>
    <n v="1296"/>
    <n v="1036.8"/>
    <n v="1296"/>
    <n v="1036.8"/>
    <n v="1036.8"/>
    <n v="1296"/>
    <n v="1036.8"/>
    <m/>
  </r>
  <r>
    <s v="Persistent"/>
    <x v="3"/>
    <s v="0A8219"/>
    <s v="0A8219649"/>
    <s v="Sanjay Prasad"/>
    <s v="Local"/>
    <s v="Canada"/>
    <n v="9"/>
    <n v="229.5"/>
    <s v="Nikita Agrawal"/>
    <s v="Manage Supply and Products - S2P"/>
    <s v="Non GDC Labor"/>
    <x v="1"/>
    <n v="152"/>
    <n v="152"/>
    <n v="80"/>
    <n v="0"/>
    <n v="0"/>
    <n v="0"/>
    <n v="0"/>
    <n v="0"/>
    <n v="0"/>
    <n v="0"/>
    <n v="0"/>
    <n v="0"/>
    <s v="No Backfill. LWD 6th Mar"/>
    <n v="34884"/>
    <n v="34884"/>
    <n v="18360"/>
    <n v="0"/>
    <n v="0"/>
    <n v="0"/>
    <n v="0"/>
    <n v="0"/>
    <n v="0"/>
    <n v="0"/>
    <n v="0"/>
    <n v="0"/>
    <n v="0"/>
  </r>
  <r>
    <s v="Persistent"/>
    <x v="3"/>
    <s v="CVXD73"/>
    <s v="CVXD73CA3"/>
    <s v="Sriram Ramaswamy Dhanakodi "/>
    <s v="Local"/>
    <s v="Canada"/>
    <n v="7"/>
    <n v="126"/>
    <s v="Nikita Agrawal"/>
    <s v="Manage Supply and Products - S2P"/>
    <s v="Non GDC Labor"/>
    <x v="5"/>
    <n v="152"/>
    <n v="152"/>
    <n v="192"/>
    <n v="160"/>
    <n v="152"/>
    <n v="200"/>
    <n v="152"/>
    <n v="192"/>
    <n v="152"/>
    <n v="152"/>
    <n v="192"/>
    <n v="152"/>
    <m/>
    <n v="19152"/>
    <n v="19152"/>
    <n v="24192"/>
    <n v="20160"/>
    <n v="19152"/>
    <n v="25200"/>
    <n v="19152"/>
    <n v="24192"/>
    <n v="19152"/>
    <n v="19152"/>
    <n v="24192"/>
    <n v="19152"/>
    <n v="1"/>
  </r>
  <r>
    <s v="Persistent"/>
    <x v="3"/>
    <m/>
    <s v=""/>
    <m/>
    <m/>
    <m/>
    <m/>
    <m/>
    <m/>
    <m/>
    <s v="Non GDC Labor"/>
    <x v="1"/>
    <m/>
    <m/>
    <m/>
    <m/>
    <m/>
    <m/>
    <m/>
    <m/>
    <m/>
    <m/>
    <m/>
    <m/>
    <m/>
    <m/>
    <m/>
    <m/>
    <m/>
    <m/>
    <m/>
    <m/>
    <m/>
    <m/>
    <m/>
    <m/>
    <m/>
    <m/>
  </r>
  <r>
    <s v="Persistent"/>
    <x v="3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m/>
  </r>
  <r>
    <s v="Persistent"/>
    <x v="3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500"/>
    <n v="500"/>
    <n v="600"/>
    <n v="500"/>
    <n v="500"/>
    <n v="600"/>
    <n v="500"/>
    <n v="600"/>
    <n v="500"/>
    <n v="500"/>
    <n v="600"/>
    <n v="500"/>
    <m/>
  </r>
  <r>
    <s v="Persistent"/>
    <x v="3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1036.8"/>
    <n v="1036.8"/>
    <n v="1296"/>
    <n v="1036.8"/>
    <n v="1036.8"/>
    <n v="1296"/>
    <n v="1036.8"/>
    <n v="1296"/>
    <n v="1036.8"/>
    <n v="1036.8"/>
    <n v="1296"/>
    <n v="1036.8"/>
    <m/>
  </r>
  <r>
    <s v="Persistent"/>
    <x v="4"/>
    <s v="02451K"/>
    <s v="02451K744"/>
    <s v="Atul Mulay"/>
    <s v="Landed"/>
    <s v="Canada"/>
    <n v="7"/>
    <n v="112"/>
    <s v="Abhay Mishal"/>
    <s v="Manage Financial Resources"/>
    <s v="Non GDC Labor"/>
    <x v="1"/>
    <n v="152"/>
    <n v="152"/>
    <n v="192"/>
    <n v="160"/>
    <n v="152"/>
    <n v="200"/>
    <n v="152"/>
    <n v="192"/>
    <n v="152"/>
    <n v="152"/>
    <n v="192"/>
    <n v="152"/>
    <m/>
    <n v="17024"/>
    <n v="17024"/>
    <n v="21504"/>
    <n v="17920"/>
    <n v="17024"/>
    <n v="22400"/>
    <n v="17024"/>
    <n v="21504"/>
    <n v="17024"/>
    <n v="17024"/>
    <n v="21504"/>
    <n v="17024"/>
    <n v="1"/>
  </r>
  <r>
    <s v="Persistent"/>
    <x v="4"/>
    <s v="003L3W"/>
    <s v="003L3W744"/>
    <s v="Piyush Kumar"/>
    <s v="India"/>
    <s v="Noida"/>
    <s v="7B"/>
    <n v="41"/>
    <s v="Mukul Koranne"/>
    <s v="Basis &amp; Monitoring"/>
    <s v="GDC Labor"/>
    <x v="0"/>
    <n v="165.87"/>
    <n v="165.87"/>
    <n v="209.51999999999998"/>
    <n v="174.6"/>
    <n v="165.87"/>
    <n v="90"/>
    <m/>
    <m/>
    <m/>
    <m/>
    <m/>
    <m/>
    <s v="LWD - Jun 5, 2026"/>
    <n v="6800.67"/>
    <n v="6800.67"/>
    <n v="8590.32"/>
    <n v="7158.5999999999995"/>
    <n v="6800.67"/>
    <n v="3690"/>
    <n v="0"/>
    <n v="0"/>
    <n v="0"/>
    <n v="0"/>
    <n v="0"/>
    <n v="0"/>
    <n v="0"/>
  </r>
  <r>
    <s v="Persistent"/>
    <x v="4"/>
    <s v="P101BX"/>
    <s v="P101BXPH1"/>
    <s v="Elizar Manalansan Jr/Philippines/IBM"/>
    <s v="PH"/>
    <s v="Philippines"/>
    <n v="8"/>
    <n v="60.5"/>
    <s v="Abhay Mishal"/>
    <s v="Manage People"/>
    <s v="GDC Labor"/>
    <x v="0"/>
    <n v="165.87"/>
    <n v="165.87"/>
    <n v="218.25"/>
    <n v="148.41"/>
    <n v="165.87"/>
    <n v="209"/>
    <n v="174.6"/>
    <n v="200.79"/>
    <n v="165.87"/>
    <n v="174.6"/>
    <n v="218.25"/>
    <n v="148.41"/>
    <m/>
    <n v="10035.135"/>
    <n v="10035.135"/>
    <n v="13204.125"/>
    <n v="8978.8050000000003"/>
    <n v="10035.135"/>
    <n v="12644.5"/>
    <n v="10563.3"/>
    <n v="12147.795"/>
    <n v="10035.135"/>
    <n v="10563.3"/>
    <n v="13204.125"/>
    <n v="8978.8050000000003"/>
    <n v="1"/>
  </r>
  <r>
    <s v="Persistent"/>
    <x v="4"/>
    <s v="00640X"/>
    <s v="00640X744"/>
    <s v="Belfin Vincent"/>
    <s v="Landed"/>
    <s v="Canada"/>
    <n v="7"/>
    <n v="88.5"/>
    <s v="Mukul Koranne"/>
    <s v="Basis &amp; Monitoring"/>
    <s v="Non GDC Labor"/>
    <x v="1"/>
    <n v="152"/>
    <n v="152"/>
    <n v="192"/>
    <n v="160"/>
    <n v="152"/>
    <n v="200"/>
    <n v="152"/>
    <n v="192"/>
    <n v="152"/>
    <n v="152"/>
    <n v="192"/>
    <n v="152"/>
    <m/>
    <n v="13452"/>
    <n v="13452"/>
    <n v="16992"/>
    <n v="14160"/>
    <n v="13452"/>
    <n v="17700"/>
    <n v="13452"/>
    <n v="16992"/>
    <n v="13452"/>
    <n v="13452"/>
    <n v="16992"/>
    <n v="13452"/>
    <n v="1"/>
  </r>
  <r>
    <s v="Persistent"/>
    <x v="4"/>
    <s v="00082T"/>
    <s v="00082T744"/>
    <s v="Sugyani Behera"/>
    <s v="India"/>
    <s v="Hyderabad"/>
    <s v="7B"/>
    <n v="30.5"/>
    <s v="Abhay Mishal"/>
    <s v="Acquire Design and Construct Facilities"/>
    <s v="GDC Labor"/>
    <x v="0"/>
    <n v="165.87"/>
    <n v="165.87"/>
    <n v="209.51999999999998"/>
    <n v="174.6"/>
    <n v="126"/>
    <n v="200.79"/>
    <n v="174.6"/>
    <n v="218.25"/>
    <n v="165.87"/>
    <n v="157.13999999999999"/>
    <n v="218.25"/>
    <n v="165.87"/>
    <m/>
    <n v="5059.0349999999999"/>
    <n v="5059.0349999999999"/>
    <n v="6390.36"/>
    <n v="5325.3"/>
    <n v="3843"/>
    <n v="6124.0949999999993"/>
    <n v="5325.3"/>
    <n v="6656.625"/>
    <n v="5059.0349999999999"/>
    <n v="4792.7699999999995"/>
    <n v="6656.625"/>
    <n v="5059.0349999999999"/>
    <n v="1"/>
  </r>
  <r>
    <s v="Persistent"/>
    <x v="4"/>
    <s v="002NOQ"/>
    <s v="002NOQ744"/>
    <s v="Yogendra Soni"/>
    <s v="India"/>
    <s v="Hyderabad"/>
    <s v="7B"/>
    <n v="30.5"/>
    <s v="Abhay Mishal"/>
    <s v="Acquire Design and Construct Facilities"/>
    <s v="GDC Labor"/>
    <x v="0"/>
    <m/>
    <n v="165.87"/>
    <n v="209.51999999999998"/>
    <n v="174.6"/>
    <n v="165.87"/>
    <n v="200.79"/>
    <n v="174.6"/>
    <n v="218.25"/>
    <n v="165.87"/>
    <n v="157.13999999999999"/>
    <n v="218.25"/>
    <n v="165.87"/>
    <m/>
    <n v="0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102395"/>
    <s v="102395PH1"/>
    <s v="Arturo Jr A. ABAT"/>
    <s v="PH"/>
    <s v="Philippines"/>
    <s v="7A"/>
    <n v="47"/>
    <s v="Abhay Mishal"/>
    <s v="Manage Goods and Services"/>
    <s v="GDC Labor"/>
    <x v="0"/>
    <n v="165.87"/>
    <n v="165.87"/>
    <n v="218.25"/>
    <n v="148.41"/>
    <n v="165.87"/>
    <n v="209"/>
    <n v="174.6"/>
    <n v="200.79"/>
    <n v="165.87"/>
    <n v="174.6"/>
    <n v="218.25"/>
    <n v="148.41"/>
    <m/>
    <n v="7795.89"/>
    <n v="7795.89"/>
    <n v="10257.75"/>
    <n v="6975.2699999999995"/>
    <n v="7795.89"/>
    <n v="9823"/>
    <n v="8206.1999999999989"/>
    <n v="9437.1299999999992"/>
    <n v="7795.89"/>
    <n v="8206.1999999999989"/>
    <n v="10257.75"/>
    <n v="6975.2699999999995"/>
    <n v="1"/>
  </r>
  <r>
    <s v="Persistent"/>
    <x v="4"/>
    <s v="000MP7"/>
    <s v="000MP7744"/>
    <s v="Dileep Kumar Vattipalli"/>
    <s v="India"/>
    <s v="Hyderabad"/>
    <s v="7B"/>
    <n v="30.5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2P6J"/>
    <s v="002P6J744"/>
    <s v="Karimulla Mahammad"/>
    <s v="India"/>
    <s v="Hyderabad"/>
    <s v="7B"/>
    <n v="30.5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34ZB"/>
    <s v="0034ZB744"/>
    <s v="Shamik Das"/>
    <s v="India"/>
    <s v="Kolkata"/>
    <s v="7B"/>
    <n v="30.5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B7777"/>
    <s v="0B7777649"/>
    <s v="Dinesh Choudhari"/>
    <s v="CIC Calgary"/>
    <s v="Canada"/>
    <n v="7"/>
    <n v="88.5"/>
    <s v="Mukul Koranne"/>
    <s v="Basis &amp; Monitoring"/>
    <s v="Non GDC Labor"/>
    <x v="1"/>
    <n v="171"/>
    <n v="171"/>
    <n v="216"/>
    <n v="180"/>
    <n v="171"/>
    <n v="225"/>
    <n v="171"/>
    <n v="216"/>
    <n v="171"/>
    <n v="171"/>
    <n v="216"/>
    <n v="171"/>
    <m/>
    <n v="15133.5"/>
    <n v="15133.5"/>
    <n v="19116"/>
    <n v="15930"/>
    <n v="15133.5"/>
    <n v="19912.5"/>
    <n v="15133.5"/>
    <n v="19116"/>
    <n v="15133.5"/>
    <n v="15133.5"/>
    <n v="19116"/>
    <n v="15133.5"/>
    <n v="1"/>
  </r>
  <r>
    <s v="Persistent"/>
    <x v="4"/>
    <s v="003FQM"/>
    <s v="003FQM744"/>
    <s v="Likitha Shetty"/>
    <s v="India"/>
    <s v="Bangalore"/>
    <s v="7A"/>
    <n v="29.5"/>
    <s v="Abhay Mishal"/>
    <s v="Operate Maintain and Improve Facilities 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893.165"/>
    <n v="4893.165"/>
    <n v="6180.8399999999992"/>
    <n v="4893.165"/>
    <n v="4893.165"/>
    <n v="6180.8399999999992"/>
    <n v="5150.7"/>
    <n v="6438.375"/>
    <n v="4893.165"/>
    <n v="4635.6299999999992"/>
    <n v="6438.375"/>
    <n v="4893.165"/>
    <n v="1"/>
  </r>
  <r>
    <s v="Persistent"/>
    <x v="4"/>
    <s v="002ZWI"/>
    <s v="002ZWI744"/>
    <s v="Freni Rodrigo"/>
    <s v="India"/>
    <s v="Chennai"/>
    <s v="7A"/>
    <n v="29.5"/>
    <s v="Abhay Mishal"/>
    <s v="Operate Maintain and Improve Facilities 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02QZK"/>
    <s v="002QZK744"/>
    <s v="Prabeer Panda"/>
    <s v="India"/>
    <s v="Hyderabad"/>
    <s v="7B"/>
    <n v="30.5"/>
    <s v="Abhay Mishal"/>
    <s v="Operate Maintain and Improve Facilities 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134845"/>
    <s v="134845PH1"/>
    <s v="Fritzel Merla A FERNANDEZ"/>
    <s v="PH"/>
    <s v="Philippines"/>
    <s v="7A"/>
    <n v="34"/>
    <s v="Mukul Koranne"/>
    <s v="Basis &amp; Monitoring"/>
    <s v="GDC Labor"/>
    <x v="0"/>
    <n v="165.87"/>
    <n v="165.87"/>
    <n v="218.25"/>
    <n v="148.41"/>
    <n v="165.87"/>
    <n v="209"/>
    <n v="174.6"/>
    <n v="200.79"/>
    <n v="165.87"/>
    <n v="174.6"/>
    <n v="218.25"/>
    <n v="148.41"/>
    <m/>
    <n v="5639.58"/>
    <n v="5639.58"/>
    <n v="7420.5"/>
    <n v="5045.9399999999996"/>
    <n v="5639.58"/>
    <n v="7106"/>
    <n v="5936.4"/>
    <n v="6826.86"/>
    <n v="5639.58"/>
    <n v="5936.4"/>
    <n v="7420.5"/>
    <n v="5045.9399999999996"/>
    <n v="1"/>
  </r>
  <r>
    <s v="Persistent"/>
    <x v="4"/>
    <s v="004BQK"/>
    <s v="004BQK744"/>
    <s v="Gottumukkala Sindhu"/>
    <s v="Landed"/>
    <s v="Canada"/>
    <n v="7"/>
    <n v="160"/>
    <s v="Abhay Mishal"/>
    <s v="Manage Goods and Services"/>
    <s v="Non GDC Labor"/>
    <x v="1"/>
    <n v="152"/>
    <n v="152"/>
    <n v="192"/>
    <n v="80"/>
    <n v="112"/>
    <n v="200"/>
    <n v="152"/>
    <n v="192"/>
    <n v="152"/>
    <n v="152"/>
    <n v="192"/>
    <n v="152"/>
    <m/>
    <n v="24320"/>
    <n v="24320"/>
    <n v="30720"/>
    <n v="12800"/>
    <n v="17920"/>
    <n v="32000"/>
    <n v="24320"/>
    <n v="30720"/>
    <n v="24320"/>
    <n v="24320"/>
    <n v="30720"/>
    <n v="24320"/>
    <n v="1"/>
  </r>
  <r>
    <s v="Persistent"/>
    <x v="4"/>
    <s v="0055VW"/>
    <s v="0055VW744"/>
    <s v="Pritam Saha"/>
    <s v="India"/>
    <s v="Kolkata"/>
    <s v="7A"/>
    <n v="29.5"/>
    <s v="Mukul Koranne"/>
    <s v="Cloud Mgmt &amp; BTP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02XBU"/>
    <s v="002XBU744"/>
    <s v="Abhishek Deulgaonkar "/>
    <s v="India"/>
    <s v="Pune"/>
    <s v="7B"/>
    <n v="30.5"/>
    <s v="Abhay Mishal"/>
    <s v="Manage Financial Resources"/>
    <s v="GDC Labor"/>
    <x v="0"/>
    <n v="174.6"/>
    <n v="165.87"/>
    <n v="200.79"/>
    <n v="174.6"/>
    <n v="142"/>
    <n v="194"/>
    <n v="174.6"/>
    <n v="218.25"/>
    <n v="165.87"/>
    <n v="157.13999999999999"/>
    <n v="209.51999999999998"/>
    <n v="165.87"/>
    <m/>
    <n v="5325.3"/>
    <n v="5059.0349999999999"/>
    <n v="6124.0949999999993"/>
    <n v="5325.3"/>
    <n v="4331"/>
    <n v="5917"/>
    <n v="5325.3"/>
    <n v="6656.625"/>
    <n v="5059.0349999999999"/>
    <n v="4792.7699999999995"/>
    <n v="6390.36"/>
    <n v="5059.0349999999999"/>
    <n v="1"/>
  </r>
  <r>
    <s v="Persistent"/>
    <x v="4"/>
    <s v="004QN3"/>
    <s v="004QN3744"/>
    <s v="Abilesh Kumar"/>
    <s v="India"/>
    <s v="Chennai"/>
    <n v="8"/>
    <n v="41"/>
    <s v="Abhay Mishal"/>
    <s v="Manage Goods and Servic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6800.67"/>
    <n v="6800.67"/>
    <n v="8590.32"/>
    <n v="7158.5999999999995"/>
    <n v="6800.67"/>
    <n v="8232.39"/>
    <n v="7158.5999999999995"/>
    <n v="8948.25"/>
    <n v="6800.67"/>
    <n v="6442.74"/>
    <n v="8948.25"/>
    <n v="6800.67"/>
    <n v="1"/>
  </r>
  <r>
    <s v="Persistent"/>
    <x v="4"/>
    <s v="000CYY"/>
    <s v="000CYY744"/>
    <s v="Kiran Khuswaha"/>
    <s v="India"/>
    <s v="Pune"/>
    <s v="7A"/>
    <n v="24.5"/>
    <s v="Abhay Mishal"/>
    <s v="Manage Financial Resources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4063.8150000000001"/>
    <n v="5133.24"/>
    <n v="4277.7"/>
    <n v="5347.125"/>
    <n v="4063.8150000000001"/>
    <n v="3849.93"/>
    <n v="5133.24"/>
    <n v="4063.8150000000001"/>
    <n v="1"/>
  </r>
  <r>
    <s v="Persistent"/>
    <x v="4"/>
    <s v="002DQG"/>
    <s v="002DQG744"/>
    <s v="Mohammad Sameer"/>
    <s v="India"/>
    <s v="Hyderabad"/>
    <s v="7A"/>
    <n v="24.5"/>
    <s v="Abhay Mishal"/>
    <s v="Manage Financial Resourc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063.8150000000001"/>
    <n v="4063.8150000000001"/>
    <n v="5133.24"/>
    <n v="4277.7"/>
    <n v="4063.8150000000001"/>
    <n v="4919.3549999999996"/>
    <n v="4277.7"/>
    <n v="5347.125"/>
    <n v="4063.8150000000001"/>
    <n v="3849.93"/>
    <n v="5347.125"/>
    <n v="4063.8150000000001"/>
    <n v="1"/>
  </r>
  <r>
    <s v="Persistent"/>
    <x v="4"/>
    <s v="148231"/>
    <s v="148231PH1"/>
    <s v="MARIA ZIA C. BULICATIN"/>
    <s v="PH"/>
    <s v="Philippines"/>
    <s v="6B"/>
    <n v="24"/>
    <s v="Mukul Koranne"/>
    <s v="Basis &amp; Monitoring"/>
    <s v="GDC Labor"/>
    <x v="0"/>
    <n v="165.87"/>
    <n v="165.87"/>
    <n v="218.25"/>
    <n v="148.41"/>
    <n v="165.87"/>
    <n v="209"/>
    <n v="174.6"/>
    <n v="200.79"/>
    <n v="165.87"/>
    <n v="174.6"/>
    <n v="218.25"/>
    <n v="148.41"/>
    <m/>
    <n v="3980.88"/>
    <n v="3980.88"/>
    <n v="5238"/>
    <n v="3561.84"/>
    <n v="3980.88"/>
    <n v="5016"/>
    <n v="4190.3999999999996"/>
    <n v="4818.96"/>
    <n v="3980.88"/>
    <n v="4190.3999999999996"/>
    <n v="5238"/>
    <n v="3561.84"/>
    <n v="1"/>
  </r>
  <r>
    <s v="Persistent"/>
    <x v="4"/>
    <s v="479876"/>
    <s v="479876744"/>
    <s v="MOHAMMAD KHIZER"/>
    <s v="India"/>
    <s v="Hyderabad"/>
    <s v="7B"/>
    <n v="30.5"/>
    <s v="Mukul Koranne"/>
    <s v="Cloud Mgmt &amp; BTP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63AO"/>
    <s v="0063AO744"/>
    <s v="Kigenousta Rochmiller"/>
    <s v="India"/>
    <s v="Chennai"/>
    <s v="7B"/>
    <n v="30.5"/>
    <s v="Mukul Koranne"/>
    <s v="Cloud Mgmt &amp; BTP"/>
    <s v="GDC Labor"/>
    <x v="0"/>
    <m/>
    <m/>
    <n v="209.51999999999998"/>
    <n v="174.6"/>
    <n v="165.87"/>
    <n v="200.79"/>
    <n v="174.6"/>
    <n v="218.25"/>
    <n v="165.87"/>
    <n v="157.13999999999999"/>
    <n v="218.25"/>
    <n v="165.87"/>
    <m/>
    <n v="0"/>
    <n v="0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326B0"/>
    <s v="0326B0744"/>
    <s v="Shweta Upadhya"/>
    <s v="India"/>
    <s v="Bangalore"/>
    <s v="7B"/>
    <n v="30.5"/>
    <s v="Mukul Koranne"/>
    <s v="Cloud Mgmt &amp; BTP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4"/>
    <s v="002X3T"/>
    <s v="002X3T744"/>
    <s v="Mohit Tyagi"/>
    <s v="India"/>
    <s v="Noida"/>
    <s v="7B"/>
    <n v="30.5"/>
    <s v="Abhay Mishal"/>
    <s v="Operate Maintain and Improve Facilities 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1648S"/>
    <s v="01648S744"/>
    <s v="Mrugali Mahajan"/>
    <s v="India"/>
    <s v="Pune"/>
    <n v="8"/>
    <n v="41"/>
    <s v="Mukul Koranne"/>
    <s v="Devlopment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7158.5999999999995"/>
    <n v="6800.67"/>
    <n v="8232.39"/>
    <n v="7158.5999999999995"/>
    <n v="6800.67"/>
    <n v="8590.32"/>
    <n v="7158.5999999999995"/>
    <n v="8948.25"/>
    <n v="6800.67"/>
    <n v="6442.74"/>
    <n v="8590.32"/>
    <n v="6800.67"/>
    <n v="1"/>
  </r>
  <r>
    <s v="Persistent"/>
    <x v="4"/>
    <s v="004EVC"/>
    <s v="004EVC744"/>
    <s v="Karthikeyan K"/>
    <s v="India"/>
    <s v="Chennai"/>
    <s v="7B"/>
    <n v="30.5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4SIG"/>
    <s v="004SIG744"/>
    <s v="Kanchan Vats"/>
    <s v="India"/>
    <s v="Gurgaon"/>
    <s v="6B"/>
    <n v="19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4"/>
    <s v="005A0R"/>
    <s v="005A0R744"/>
    <s v="Mukul Kumar"/>
    <s v="India"/>
    <s v="Gurgaon"/>
    <s v="7B"/>
    <n v="30.5"/>
    <s v="Mukul Koranne"/>
    <s v="Devlopmen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4Q4K"/>
    <s v="004Q4K744"/>
    <s v="Yamini Konda"/>
    <s v="India"/>
    <s v="Hyderabad"/>
    <s v="7A"/>
    <n v="29.5"/>
    <s v="Abhay Mishal"/>
    <s v="Manage Goods and Services"/>
    <s v="GDC Labor"/>
    <x v="0"/>
    <m/>
    <m/>
    <m/>
    <m/>
    <m/>
    <n v="200.79"/>
    <n v="174.6"/>
    <m/>
    <m/>
    <m/>
    <m/>
    <m/>
    <s v="LWD - Jun 22,2026"/>
    <n v="0"/>
    <n v="0"/>
    <n v="0"/>
    <n v="0"/>
    <n v="0"/>
    <n v="5923.3049999999994"/>
    <n v="5150.7"/>
    <n v="0"/>
    <n v="0"/>
    <n v="0"/>
    <n v="0"/>
    <n v="0"/>
    <n v="1"/>
  </r>
  <r>
    <s v="Persistent"/>
    <x v="4"/>
    <s v="05809X"/>
    <s v="05809X744"/>
    <s v="Naga Gannamaneni"/>
    <s v="India"/>
    <s v="Hyderabad"/>
    <s v="7A"/>
    <n v="24.5"/>
    <s v="Abhay Mishal"/>
    <s v="Manage Goods and Services"/>
    <s v="GDC Labor"/>
    <x v="0"/>
    <n v="165.87"/>
    <n v="165.87"/>
    <n v="209.51999999999998"/>
    <n v="174.6"/>
    <n v="165.87"/>
    <n v="155"/>
    <m/>
    <m/>
    <m/>
    <m/>
    <m/>
    <m/>
    <s v="LWD - Jun 22,2026"/>
    <n v="4063.8150000000001"/>
    <n v="4063.8150000000001"/>
    <n v="5133.24"/>
    <n v="4277.7"/>
    <n v="4063.8150000000001"/>
    <n v="3797.5"/>
    <n v="0"/>
    <n v="0"/>
    <n v="0"/>
    <n v="0"/>
    <n v="0"/>
    <n v="0"/>
    <n v="1"/>
  </r>
  <r>
    <s v="Persistent"/>
    <x v="4"/>
    <s v="005BRK"/>
    <s v="005BRK744"/>
    <s v="Saurabh Dange"/>
    <s v="India"/>
    <s v="Pune"/>
    <s v="7A"/>
    <n v="29.5"/>
    <s v="Abhay Mishal"/>
    <s v="Manage Goods and Services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150.7"/>
    <n v="4893.165"/>
    <n v="5923.3049999999994"/>
    <n v="5150.7"/>
    <n v="4893.165"/>
    <n v="6180.8399999999992"/>
    <n v="5150.7"/>
    <n v="6438.375"/>
    <n v="4893.165"/>
    <n v="4635.6299999999992"/>
    <n v="6180.8399999999992"/>
    <n v="4893.165"/>
    <n v="1"/>
  </r>
  <r>
    <s v="Persistent"/>
    <x v="4"/>
    <s v="0048SF"/>
    <s v="0048SF744"/>
    <s v="Barsha Das"/>
    <s v="India"/>
    <s v="Ahmedabad"/>
    <s v="7A"/>
    <n v="29.5"/>
    <s v="Abhay Mishal"/>
    <s v="Manage Goods and Servic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059OE"/>
    <s v="0059OE744"/>
    <s v="Dhanraj Pille"/>
    <s v="India"/>
    <s v="Bangalore"/>
    <n v="8"/>
    <n v="50.5"/>
    <s v="Abhay Mishal"/>
    <s v="Manage Goods and Services"/>
    <s v="GDC Labor"/>
    <x v="0"/>
    <n v="165.87"/>
    <n v="165.87"/>
    <m/>
    <m/>
    <m/>
    <m/>
    <m/>
    <m/>
    <m/>
    <m/>
    <m/>
    <m/>
    <s v="LWD - Mar 4, 2026"/>
    <n v="8376.4349999999995"/>
    <n v="8376.4349999999995"/>
    <n v="0"/>
    <n v="0"/>
    <n v="0"/>
    <n v="0"/>
    <n v="0"/>
    <n v="0"/>
    <n v="0"/>
    <n v="0"/>
    <n v="0"/>
    <n v="0"/>
    <n v="1"/>
  </r>
  <r>
    <s v="Persistent"/>
    <x v="4"/>
    <s v="083221"/>
    <s v="083221744"/>
    <s v="Sridhar Mothakapalli"/>
    <s v="India"/>
    <s v="Bangalore"/>
    <n v="8"/>
    <n v="42"/>
    <s v="Abhay Mishal"/>
    <s v="Manage Goods and Services"/>
    <s v="GDC Labor"/>
    <x v="0"/>
    <n v="135"/>
    <m/>
    <m/>
    <m/>
    <m/>
    <m/>
    <m/>
    <m/>
    <m/>
    <m/>
    <m/>
    <m/>
    <s v="LWD - Jan 16, 2026"/>
    <n v="5670"/>
    <n v="0"/>
    <n v="0"/>
    <n v="0"/>
    <n v="0"/>
    <n v="0"/>
    <n v="0"/>
    <n v="0"/>
    <n v="0"/>
    <n v="0"/>
    <n v="0"/>
    <n v="0"/>
    <n v="1"/>
  </r>
  <r>
    <s v="Persistent"/>
    <x v="4"/>
    <s v="0058JV"/>
    <s v="0058JV744"/>
    <s v="Tharun Kumar"/>
    <s v="India"/>
    <s v="Bangalore"/>
    <s v="7A"/>
    <n v="29.5"/>
    <s v="Abhay Mishal"/>
    <s v="Manage Goods and Services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893.165"/>
    <n v="4893.165"/>
    <n v="6180.8399999999992"/>
    <n v="4893.165"/>
    <n v="4893.165"/>
    <n v="6180.8399999999992"/>
    <n v="5150.7"/>
    <n v="6438.375"/>
    <n v="4893.165"/>
    <n v="4635.6299999999992"/>
    <n v="6438.375"/>
    <n v="4893.165"/>
    <n v="1"/>
  </r>
  <r>
    <s v="Persistent"/>
    <x v="4"/>
    <s v="0F1955"/>
    <s v="0F1955649"/>
    <s v="Gaddam Nagaraju"/>
    <s v="CIC Calgary"/>
    <s v="Canada"/>
    <n v="7"/>
    <n v="96.5"/>
    <s v="Mukul Koranne"/>
    <s v="Devlopment"/>
    <s v="Non GDC Labor"/>
    <x v="1"/>
    <n v="171"/>
    <n v="171"/>
    <m/>
    <m/>
    <m/>
    <m/>
    <m/>
    <m/>
    <m/>
    <m/>
    <m/>
    <m/>
    <s v="LWD - Jan 30, 2026"/>
    <n v="16501.5"/>
    <n v="16501.5"/>
    <n v="0"/>
    <n v="0"/>
    <n v="0"/>
    <n v="0"/>
    <n v="0"/>
    <n v="0"/>
    <n v="0"/>
    <n v="0"/>
    <n v="0"/>
    <n v="0"/>
    <n v="1"/>
  </r>
  <r>
    <s v="Persistent"/>
    <x v="4"/>
    <s v="CVY82E"/>
    <s v="CVY82ECA3"/>
    <s v="Sampath Uppala"/>
    <s v="Canada"/>
    <s v="Canada"/>
    <n v="7"/>
    <n v="102"/>
    <s v="Mukul Koranne"/>
    <s v="Devlopment"/>
    <s v="Non GDC Labor"/>
    <x v="5"/>
    <m/>
    <m/>
    <m/>
    <m/>
    <n v="165.87"/>
    <n v="209.51999999999998"/>
    <n v="174.6"/>
    <n v="218.25"/>
    <n v="165.87"/>
    <n v="157.13999999999999"/>
    <n v="209.51999999999998"/>
    <n v="165.87"/>
    <s v=" "/>
    <n v="0"/>
    <n v="0"/>
    <n v="0"/>
    <n v="0"/>
    <n v="16918.740000000002"/>
    <n v="21371.039999999997"/>
    <n v="17809.2"/>
    <n v="22261.5"/>
    <n v="16918.740000000002"/>
    <n v="16028.279999999999"/>
    <n v="21371.039999999997"/>
    <n v="16918.740000000002"/>
    <n v="1"/>
  </r>
  <r>
    <s v="Persistent"/>
    <x v="4"/>
    <s v="004LR9"/>
    <s v="004LR9744"/>
    <s v="Niraka Patra"/>
    <s v="India"/>
    <s v="Bhubaneswar"/>
    <s v="6B"/>
    <n v="17.5"/>
    <s v="Abhay Mishal"/>
    <s v="Operate Maintain and Improve Facilities 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2902.7249999999999"/>
    <n v="2902.7249999999999"/>
    <n v="3666.5999999999995"/>
    <n v="3055.5"/>
    <n v="2902.7249999999999"/>
    <n v="3513.8249999999998"/>
    <n v="3055.5"/>
    <n v="3819.375"/>
    <n v="2902.7249999999999"/>
    <n v="2749.95"/>
    <n v="3819.375"/>
    <n v="2902.7249999999999"/>
    <n v="1"/>
  </r>
  <r>
    <s v="Persistent"/>
    <x v="4"/>
    <s v="0023NK"/>
    <s v="0023NK744"/>
    <s v="Narasareddy Kuppireddy"/>
    <s v="Landed"/>
    <s v="Canada"/>
    <n v="8"/>
    <n v="185.5"/>
    <s v="Prashant Kiran"/>
    <s v="Reporting"/>
    <s v="Non GDC Labor"/>
    <x v="1"/>
    <n v="70"/>
    <n v="152"/>
    <n v="192"/>
    <n v="160"/>
    <n v="152"/>
    <n v="200"/>
    <n v="152"/>
    <n v="192"/>
    <n v="152"/>
    <n v="152"/>
    <n v="192"/>
    <n v="152"/>
    <s v="15 days leave"/>
    <n v="12985"/>
    <n v="28196"/>
    <n v="35616"/>
    <n v="29680"/>
    <n v="28196"/>
    <n v="37100"/>
    <n v="28196"/>
    <n v="35616"/>
    <n v="28196"/>
    <n v="28196"/>
    <n v="35616"/>
    <n v="28196"/>
    <n v="1"/>
  </r>
  <r>
    <s v="Persistent"/>
    <x v="4"/>
    <s v="0058JF"/>
    <s v="0058JF744"/>
    <s v="Mahammad Rafi "/>
    <s v="India"/>
    <s v="Hyderabad"/>
    <s v="7A"/>
    <n v="29.5"/>
    <s v="Abhay Mishal"/>
    <s v="Manage Financial Resourc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1903U"/>
    <s v="01903U744"/>
    <s v="Prashant Kiran Annaiahvondla"/>
    <s v="India"/>
    <s v="Hyderabad"/>
    <n v="8"/>
    <n v="49"/>
    <s v="Prashant Kiran"/>
    <s v="Reporting"/>
    <s v="GDC Labor"/>
    <x v="0"/>
    <n v="165.87"/>
    <n v="165.87"/>
    <n v="209.51999999999998"/>
    <n v="174.6"/>
    <n v="126"/>
    <n v="200.79"/>
    <n v="174.6"/>
    <n v="218.25"/>
    <n v="165.87"/>
    <n v="157.13999999999999"/>
    <n v="218.25"/>
    <n v="165.87"/>
    <m/>
    <n v="8127.63"/>
    <n v="8127.63"/>
    <n v="10266.48"/>
    <n v="8555.4"/>
    <n v="6174"/>
    <n v="9838.7099999999991"/>
    <n v="8555.4"/>
    <n v="10694.25"/>
    <n v="8127.63"/>
    <n v="7699.86"/>
    <n v="10694.25"/>
    <n v="8127.63"/>
    <n v="1"/>
  </r>
  <r>
    <s v="Persistent"/>
    <x v="4"/>
    <s v="003CZH"/>
    <s v="003CZH744"/>
    <s v="Lokesh Rao"/>
    <s v="India"/>
    <s v="Bangalore"/>
    <s v="7B"/>
    <n v="30.5"/>
    <s v="Prashant Kiran"/>
    <s v="Reporting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4"/>
    <s v="04057F"/>
    <s v="04057F744"/>
    <s v="Veeravenkata Narayanarao Vatapalli"/>
    <s v="India"/>
    <s v="Hyderabad"/>
    <n v="8"/>
    <n v="41"/>
    <s v="Prashant Kiran"/>
    <s v="Reporting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6800.67"/>
    <n v="6800.67"/>
    <n v="8590.32"/>
    <n v="7158.5999999999995"/>
    <n v="6800.67"/>
    <n v="8232.39"/>
    <n v="7158.5999999999995"/>
    <n v="8948.25"/>
    <n v="6800.67"/>
    <n v="6442.74"/>
    <n v="8948.25"/>
    <n v="6800.67"/>
    <n v="1"/>
  </r>
  <r>
    <s v="Persistent"/>
    <x v="4"/>
    <s v="000H1Z"/>
    <s v="000H1Z744"/>
    <s v="Nikhila Pilli"/>
    <s v="India"/>
    <s v="Hyderabad"/>
    <s v="7A"/>
    <n v="24.5"/>
    <s v="Prashant Kiran"/>
    <s v="Reporting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063.8150000000001"/>
    <n v="4063.8150000000001"/>
    <n v="5133.24"/>
    <n v="4277.7"/>
    <n v="4063.8150000000001"/>
    <n v="4919.3549999999996"/>
    <n v="4277.7"/>
    <n v="5347.125"/>
    <n v="4063.8150000000001"/>
    <n v="3849.93"/>
    <n v="5347.125"/>
    <n v="4063.8150000000001"/>
    <n v="1"/>
  </r>
  <r>
    <s v="Persistent"/>
    <x v="4"/>
    <s v="0044UP"/>
    <s v="0044UP744"/>
    <s v="Dileep Konduru"/>
    <s v="India"/>
    <s v="Bangalore"/>
    <s v="7A"/>
    <n v="29.5"/>
    <s v="Prashant Kiran"/>
    <s v="Reporting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893.165"/>
    <n v="4893.165"/>
    <n v="6180.8399999999992"/>
    <n v="4893.165"/>
    <n v="4893.165"/>
    <n v="6180.8399999999992"/>
    <n v="5150.7"/>
    <n v="6438.375"/>
    <n v="4893.165"/>
    <n v="4635.6299999999992"/>
    <n v="6438.375"/>
    <n v="4893.165"/>
    <n v="1"/>
  </r>
  <r>
    <s v="Persistent"/>
    <x v="4"/>
    <s v="000EC7"/>
    <s v="000EC7744"/>
    <s v="Praveen Jain"/>
    <s v="India"/>
    <s v="Noida"/>
    <s v="7B"/>
    <n v="37"/>
    <s v="Mukul Koranne"/>
    <s v="Cloud Mgmt &amp; BTP"/>
    <s v="GDC Labor"/>
    <x v="0"/>
    <n v="165.87"/>
    <n v="165.87"/>
    <n v="209.51999999999998"/>
    <n v="27"/>
    <m/>
    <m/>
    <m/>
    <m/>
    <m/>
    <m/>
    <m/>
    <m/>
    <s v="LWD - Apr 3, 2026"/>
    <n v="6137.1900000000005"/>
    <n v="6137.1900000000005"/>
    <n v="7752.24"/>
    <n v="999"/>
    <n v="0"/>
    <n v="0"/>
    <n v="0"/>
    <n v="0"/>
    <n v="0"/>
    <n v="0"/>
    <n v="0"/>
    <n v="0"/>
    <n v="1"/>
  </r>
  <r>
    <s v="Persistent"/>
    <x v="4"/>
    <s v="CVW9F9"/>
    <s v="CVW9F9CA3"/>
    <s v="Nisarg Bhatt"/>
    <s v="Local"/>
    <s v="Calgary"/>
    <n v="8"/>
    <n v="110"/>
    <s v="Mukul Koranne"/>
    <s v="Cloud Mgmt &amp; BTP"/>
    <s v="Non GDC Labor"/>
    <x v="5"/>
    <n v="152"/>
    <n v="152"/>
    <n v="192"/>
    <n v="160"/>
    <n v="152"/>
    <n v="200"/>
    <n v="152"/>
    <n v="192"/>
    <n v="152"/>
    <n v="152"/>
    <n v="192"/>
    <n v="152"/>
    <m/>
    <n v="16720"/>
    <n v="16720"/>
    <n v="21120"/>
    <n v="17600"/>
    <n v="16720"/>
    <n v="22000"/>
    <n v="16720"/>
    <n v="21120"/>
    <n v="16720"/>
    <n v="16720"/>
    <n v="21120"/>
    <n v="16720"/>
    <n v="1"/>
  </r>
  <r>
    <s v="Persistent"/>
    <x v="4"/>
    <s v="03584N"/>
    <s v="03584N744"/>
    <s v="Vishal Gupta"/>
    <s v="India"/>
    <s v="Noida"/>
    <n v="9"/>
    <n v="41"/>
    <s v="Mukul Koranne"/>
    <s v="Cloud Mgmt &amp; BTP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6800.67"/>
    <n v="6800.67"/>
    <n v="8590.32"/>
    <n v="7158.5999999999995"/>
    <n v="6800.67"/>
    <n v="8232.39"/>
    <n v="7158.5999999999995"/>
    <n v="8948.25"/>
    <n v="6800.67"/>
    <n v="6442.74"/>
    <n v="8948.25"/>
    <n v="6800.67"/>
    <n v="1"/>
  </r>
  <r>
    <s v="Persistent"/>
    <x v="4"/>
    <s v="002Z9R"/>
    <s v="002Z9R744"/>
    <s v="Vishal Gupta"/>
    <s v="India"/>
    <s v="Kolkata"/>
    <s v="7A"/>
    <n v="29.5"/>
    <s v="Mukul Koranne"/>
    <s v="Basis &amp; Monitoring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050EB"/>
    <s v="0050EB744"/>
    <s v="Mallem Pavani"/>
    <s v="India"/>
    <s v="Hyderabad"/>
    <s v="7A"/>
    <n v="24.5"/>
    <s v="Mukul Koranne"/>
    <s v="Basis &amp; Monitoring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063.8150000000001"/>
    <n v="4063.8150000000001"/>
    <n v="5133.24"/>
    <n v="4277.7"/>
    <n v="4063.8150000000001"/>
    <n v="4919.3549999999996"/>
    <n v="4277.7"/>
    <n v="5347.125"/>
    <n v="4063.8150000000001"/>
    <n v="3849.93"/>
    <n v="5347.125"/>
    <n v="4063.8150000000001"/>
    <n v="1"/>
  </r>
  <r>
    <s v="Persistent"/>
    <x v="4"/>
    <s v="002T0F"/>
    <s v="002T0F744"/>
    <s v="Vinayak Awaji"/>
    <s v="India"/>
    <s v="Pune"/>
    <s v="7A"/>
    <n v="28.5"/>
    <s v="Mukul Koranne"/>
    <s v="Basis &amp; Monitoring"/>
    <s v="GDC Labor"/>
    <x v="0"/>
    <n v="174.6"/>
    <m/>
    <m/>
    <m/>
    <m/>
    <m/>
    <m/>
    <m/>
    <m/>
    <m/>
    <m/>
    <m/>
    <s v="LWD - Jan 30, 2026"/>
    <n v="4976.0999999999995"/>
    <n v="0"/>
    <n v="0"/>
    <n v="0"/>
    <n v="0"/>
    <n v="0"/>
    <n v="0"/>
    <n v="0"/>
    <n v="0"/>
    <n v="0"/>
    <n v="0"/>
    <n v="0"/>
    <n v="1"/>
  </r>
  <r>
    <s v="Persistent"/>
    <x v="4"/>
    <s v="0053KN"/>
    <s v="0053KN744"/>
    <s v="Arun Senthurpandian"/>
    <s v="India"/>
    <s v="Chennai"/>
    <s v="7B"/>
    <n v="32"/>
    <s v="Mukul Koranne"/>
    <s v="Basis &amp; Monitoring"/>
    <s v="GDC Labor"/>
    <x v="0"/>
    <n v="121"/>
    <n v="165.87"/>
    <n v="170"/>
    <m/>
    <m/>
    <m/>
    <m/>
    <m/>
    <m/>
    <m/>
    <m/>
    <m/>
    <s v="LWD - Mar 20, 2026"/>
    <n v="3872"/>
    <n v="5307.84"/>
    <n v="5440"/>
    <n v="0"/>
    <n v="0"/>
    <n v="0"/>
    <n v="0"/>
    <n v="0"/>
    <n v="0"/>
    <n v="0"/>
    <n v="0"/>
    <n v="0"/>
    <n v="1"/>
  </r>
  <r>
    <s v="Persistent"/>
    <x v="4"/>
    <s v="000EDI"/>
    <s v="000EDI744"/>
    <s v="Snehansu Mohapatra"/>
    <s v="India"/>
    <s v="Kolkata"/>
    <s v="7B"/>
    <n v="30.5"/>
    <s v="Mukul Koranne"/>
    <s v="Basis &amp; Monitoring"/>
    <s v="GDC Labor"/>
    <x v="0"/>
    <m/>
    <m/>
    <m/>
    <m/>
    <m/>
    <n v="209.51999999999998"/>
    <n v="174.6"/>
    <n v="218.25"/>
    <n v="165.87"/>
    <n v="157.13999999999999"/>
    <n v="209.51999999999998"/>
    <n v="165.87"/>
    <m/>
    <n v="0"/>
    <n v="0"/>
    <n v="0"/>
    <n v="0"/>
    <n v="0"/>
    <n v="6390.36"/>
    <n v="5325.3"/>
    <n v="6656.625"/>
    <n v="5059.0349999999999"/>
    <n v="4792.7699999999995"/>
    <n v="6390.36"/>
    <n v="5059.0349999999999"/>
    <n v="1"/>
  </r>
  <r>
    <s v="Persistent"/>
    <x v="4"/>
    <s v="005AZ6"/>
    <s v="005AZ6744"/>
    <s v="Swain, Sudhansu"/>
    <s v="India"/>
    <s v="Bhubaneswar"/>
    <s v="7B"/>
    <n v="28.5"/>
    <s v="Mukul Koranne"/>
    <s v="Basis &amp; Monitoring"/>
    <s v="GDC Labor"/>
    <x v="0"/>
    <m/>
    <m/>
    <n v="200.79"/>
    <n v="174.6"/>
    <n v="165.87"/>
    <n v="209.51999999999998"/>
    <n v="174.6"/>
    <n v="218.25"/>
    <n v="165.87"/>
    <n v="157.13999999999999"/>
    <n v="209.51999999999998"/>
    <n v="165.87"/>
    <m/>
    <n v="0"/>
    <n v="0"/>
    <n v="5722.5149999999994"/>
    <n v="4976.0999999999995"/>
    <n v="4727.2950000000001"/>
    <n v="5971.32"/>
    <n v="4976.0999999999995"/>
    <n v="6220.125"/>
    <n v="4727.2950000000001"/>
    <n v="4478.49"/>
    <n v="5971.32"/>
    <n v="4727.2950000000001"/>
    <n v="1"/>
  </r>
  <r>
    <s v="Persistent"/>
    <x v="4"/>
    <s v="005Q1E"/>
    <s v="005Q1E744"/>
    <s v="Shital Giradkar"/>
    <s v="India"/>
    <s v="Pune"/>
    <s v="7A"/>
    <n v="24.5"/>
    <s v="Mukul Koranne"/>
    <s v="Basis &amp; Monitoring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4063.8150000000001"/>
    <n v="5133.24"/>
    <n v="4277.7"/>
    <n v="5347.125"/>
    <n v="4063.8150000000001"/>
    <n v="3849.93"/>
    <n v="5133.24"/>
    <n v="4063.8150000000001"/>
    <n v="1"/>
  </r>
  <r>
    <s v="Persistent"/>
    <x v="4"/>
    <s v="004FGC"/>
    <s v="004FGC744"/>
    <s v="Shikhar Srivastava"/>
    <s v="India"/>
    <s v="Noida"/>
    <s v="7B"/>
    <n v="30.5"/>
    <s v="Mukul Koranne"/>
    <s v="Basis &amp; Monitoring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48SP"/>
    <s v="0048SP744"/>
    <s v="Hema Jadav"/>
    <s v="India"/>
    <s v="Chennai"/>
    <n v="8"/>
    <n v="41"/>
    <s v="Mukul Koranne"/>
    <s v="Basis &amp; Monitoring"/>
    <s v="GDC Labor"/>
    <x v="0"/>
    <n v="121"/>
    <n v="165.87"/>
    <n v="209.51999999999998"/>
    <n v="174.6"/>
    <n v="140"/>
    <n v="200.79"/>
    <n v="174.6"/>
    <n v="218.25"/>
    <n v="165.87"/>
    <n v="157.13999999999999"/>
    <n v="218.25"/>
    <n v="165.87"/>
    <s v="Start Date - Jan 5, 2026"/>
    <n v="4961"/>
    <n v="6800.67"/>
    <n v="8590.32"/>
    <n v="7158.5999999999995"/>
    <n v="5740"/>
    <n v="8232.39"/>
    <n v="7158.5999999999995"/>
    <n v="8948.25"/>
    <n v="6800.67"/>
    <n v="6442.74"/>
    <n v="8948.25"/>
    <n v="6800.67"/>
    <n v="1"/>
  </r>
  <r>
    <s v="Persistent"/>
    <x v="4"/>
    <s v="0D5372"/>
    <s v="0D5372649"/>
    <s v="Qaiser Farooq"/>
    <s v="Local"/>
    <s v="Canada"/>
    <n v="7"/>
    <n v="112"/>
    <s v="Nikita Agrawal"/>
    <s v="Manage Supply and Products - STO"/>
    <s v="Non GDC Labor"/>
    <x v="1"/>
    <n v="152"/>
    <n v="152"/>
    <n v="192"/>
    <n v="160"/>
    <n v="152"/>
    <n v="200"/>
    <n v="152"/>
    <n v="192"/>
    <n v="152"/>
    <n v="152"/>
    <n v="192"/>
    <n v="152"/>
    <m/>
    <n v="17024"/>
    <n v="17024"/>
    <n v="21504"/>
    <n v="17920"/>
    <n v="17024"/>
    <n v="22400"/>
    <n v="17024"/>
    <n v="21504"/>
    <n v="17024"/>
    <n v="17024"/>
    <n v="21504"/>
    <n v="17024"/>
    <n v="1"/>
  </r>
  <r>
    <s v="Persistent"/>
    <x v="4"/>
    <s v="SVXRYL"/>
    <s v="SVXRYL744"/>
    <s v="Baby Ramya Putta"/>
    <s v="India"/>
    <s v="Hyderabad"/>
    <s v="7B"/>
    <n v="36.5"/>
    <s v="Abhay Mishal"/>
    <s v="Manage Goods and Services"/>
    <s v="GDC Labor"/>
    <x v="5"/>
    <n v="166.84"/>
    <n v="166.84"/>
    <n v="210.48999999999998"/>
    <n v="166.84"/>
    <n v="166.84"/>
    <n v="202.73"/>
    <n v="174.6"/>
    <n v="218.25"/>
    <n v="166.84"/>
    <n v="159.07999999999998"/>
    <n v="210.48999999999998"/>
    <n v="166.84"/>
    <m/>
    <n v="6089.66"/>
    <n v="6089.66"/>
    <n v="7682.8849999999993"/>
    <n v="6089.66"/>
    <n v="6089.66"/>
    <n v="7399.6449999999995"/>
    <n v="6372.9"/>
    <n v="7966.125"/>
    <n v="6089.66"/>
    <n v="5806.4199999999992"/>
    <n v="7682.8849999999993"/>
    <n v="6089.66"/>
    <n v="1"/>
  </r>
  <r>
    <s v="Persistent"/>
    <x v="4"/>
    <s v="003XDY"/>
    <s v="003XDY744"/>
    <s v="Mangesh Pote"/>
    <s v="India"/>
    <s v="Pune"/>
    <s v="7B"/>
    <n v="30.5"/>
    <s v="Abhay Mishal"/>
    <s v="Manage Goods and Services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4"/>
    <s v="003UBQ"/>
    <s v="003UBQ744"/>
    <s v="Raghunath R"/>
    <s v="India"/>
    <s v="Hyderabad"/>
    <s v="7B"/>
    <n v="37.5"/>
    <s v="Abhay Mishal"/>
    <s v="Manage Goods and Services"/>
    <s v="GDC Labor"/>
    <x v="0"/>
    <m/>
    <m/>
    <n v="200.79"/>
    <n v="174.6"/>
    <n v="165.87"/>
    <m/>
    <m/>
    <m/>
    <m/>
    <m/>
    <m/>
    <m/>
    <s v="LWD - May 21, 2026"/>
    <n v="0"/>
    <n v="0"/>
    <n v="7529.625"/>
    <n v="6547.5"/>
    <n v="6220.125"/>
    <n v="0"/>
    <n v="0"/>
    <n v="0"/>
    <n v="0"/>
    <n v="0"/>
    <n v="0"/>
    <n v="0"/>
    <n v="1"/>
  </r>
  <r>
    <s v="Persistent"/>
    <x v="4"/>
    <s v="005Z5W"/>
    <s v="005Z5W744"/>
    <s v="Vishal Ojha"/>
    <s v="India"/>
    <s v="Pune"/>
    <s v="7B"/>
    <n v="30.5"/>
    <s v="Abhay Mishal"/>
    <s v="Manage Goods and Services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4"/>
    <s v="0055UE"/>
    <s v="0055UE744"/>
    <s v="Uday Chand Teli"/>
    <s v="India"/>
    <s v="Hyderabad"/>
    <s v="7B"/>
    <n v="30.5"/>
    <s v="Abhay Mishal"/>
    <s v="Manage Goods and Servic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3ARY"/>
    <s v="003ARY744"/>
    <s v="Shivakumara E S"/>
    <s v="India"/>
    <s v="Bangalore"/>
    <s v="7B"/>
    <n v="30.5"/>
    <s v="Abhay Mishal"/>
    <s v="Manage Goods and Services"/>
    <s v="GDC Labor"/>
    <x v="0"/>
    <n v="165.87"/>
    <n v="165.87"/>
    <n v="209.51999999999998"/>
    <n v="165.87"/>
    <n v="140"/>
    <n v="200.79"/>
    <n v="174.6"/>
    <n v="218.25"/>
    <m/>
    <m/>
    <m/>
    <m/>
    <s v="LWD -Aug  31, 2026"/>
    <n v="5059.0349999999999"/>
    <n v="5059.0349999999999"/>
    <n v="6390.36"/>
    <n v="5059.0349999999999"/>
    <n v="4270"/>
    <n v="6124.0949999999993"/>
    <n v="5325.3"/>
    <n v="6656.625"/>
    <n v="0"/>
    <n v="0"/>
    <n v="0"/>
    <n v="0"/>
    <n v="1"/>
  </r>
  <r>
    <s v="Persistent"/>
    <x v="4"/>
    <s v="0F1757"/>
    <s v="0F1757649"/>
    <s v="Preethi Lukose"/>
    <s v="CIC Calgary"/>
    <s v="Canada"/>
    <n v="7"/>
    <n v="88.5"/>
    <s v="Abhay Mishal"/>
    <s v="Manage Goods and Services"/>
    <s v="Non GDC Labor"/>
    <x v="1"/>
    <n v="171"/>
    <n v="171"/>
    <n v="216"/>
    <n v="180"/>
    <n v="171"/>
    <n v="225"/>
    <n v="171"/>
    <n v="216"/>
    <n v="171"/>
    <n v="171"/>
    <n v="216"/>
    <n v="171"/>
    <m/>
    <n v="15133.5"/>
    <n v="15133.5"/>
    <n v="19116"/>
    <n v="15930"/>
    <n v="15133.5"/>
    <n v="19912.5"/>
    <n v="15133.5"/>
    <n v="19116"/>
    <n v="15133.5"/>
    <n v="15133.5"/>
    <n v="19116"/>
    <n v="15133.5"/>
    <n v="1"/>
  </r>
  <r>
    <s v="Persistent"/>
    <x v="4"/>
    <s v="004HNM"/>
    <s v="004HNM744"/>
    <s v="Vijanapalli Bhavyasri"/>
    <s v="India"/>
    <s v="Hyderabad"/>
    <s v="6A"/>
    <n v="14"/>
    <s v="Abhay Mishal"/>
    <s v="Acquire Design and Construct Facilitie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2322.1800000000003"/>
    <n v="2322.1800000000003"/>
    <n v="2933.2799999999997"/>
    <n v="2444.4"/>
    <n v="2322.1800000000003"/>
    <n v="2811.06"/>
    <n v="2444.4"/>
    <n v="3055.5"/>
    <n v="2322.1800000000003"/>
    <n v="2199.96"/>
    <n v="3055.5"/>
    <n v="2322.1800000000003"/>
    <n v="1"/>
  </r>
  <r>
    <s v="Persistent"/>
    <x v="4"/>
    <s v="04364K"/>
    <s v="04364K744"/>
    <s v="RVN Prasad G"/>
    <s v="India"/>
    <s v="Bangalore"/>
    <s v="7B"/>
    <n v="30.5"/>
    <s v="Abhay Mishal"/>
    <s v="Manage Environment Health and Safety"/>
    <s v="GDC Labor"/>
    <x v="0"/>
    <n v="165.87"/>
    <n v="165.87"/>
    <n v="209.51999999999998"/>
    <n v="165.87"/>
    <n v="126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3843"/>
    <n v="6390.36"/>
    <n v="5325.3"/>
    <n v="6656.625"/>
    <n v="5059.0349999999999"/>
    <n v="4792.7699999999995"/>
    <n v="6656.625"/>
    <n v="5059.0349999999999"/>
    <n v="1"/>
  </r>
  <r>
    <s v="Persistent"/>
    <x v="4"/>
    <s v="004A0Q"/>
    <s v="004A0Q744"/>
    <s v="Saurav Bisht"/>
    <s v="India"/>
    <s v="Noida"/>
    <n v="8"/>
    <n v="41"/>
    <s v="Mukul Koranne"/>
    <s v="Basis &amp; Monitoring"/>
    <s v="GDC Labor"/>
    <x v="0"/>
    <n v="165.87"/>
    <n v="165.87"/>
    <n v="209.51999999999998"/>
    <n v="174.6"/>
    <n v="156"/>
    <n v="200.79"/>
    <n v="174.6"/>
    <n v="218.25"/>
    <n v="165.87"/>
    <n v="157.13999999999999"/>
    <n v="218.25"/>
    <n v="165.87"/>
    <m/>
    <n v="6800.67"/>
    <n v="6800.67"/>
    <n v="8590.32"/>
    <n v="7158.5999999999995"/>
    <n v="6396"/>
    <n v="8232.39"/>
    <n v="7158.5999999999995"/>
    <n v="8948.25"/>
    <n v="6800.67"/>
    <n v="6442.74"/>
    <n v="8948.25"/>
    <n v="6800.67"/>
    <n v="1"/>
  </r>
  <r>
    <s v="Persistent"/>
    <x v="4"/>
    <s v="002WOL"/>
    <s v="002WOL744"/>
    <s v="Sandeep Chebathini"/>
    <s v="India"/>
    <s v="Hyderabad"/>
    <s v="7B"/>
    <n v="30.5"/>
    <s v="Abhay Mishal"/>
    <s v="Operate Maintain and Improve Facilities "/>
    <s v="GDC Labor"/>
    <x v="0"/>
    <n v="165.87"/>
    <n v="165.87"/>
    <n v="209.51999999999998"/>
    <m/>
    <m/>
    <m/>
    <m/>
    <m/>
    <m/>
    <m/>
    <m/>
    <m/>
    <m/>
    <n v="5059.0349999999999"/>
    <n v="5059.0349999999999"/>
    <n v="6390.36"/>
    <n v="0"/>
    <n v="0"/>
    <n v="0"/>
    <n v="0"/>
    <n v="0"/>
    <n v="0"/>
    <n v="0"/>
    <n v="0"/>
    <n v="0"/>
    <n v="1"/>
  </r>
  <r>
    <s v="Persistent"/>
    <x v="4"/>
    <s v="002RX5"/>
    <s v="002RX5744"/>
    <s v="Ramkumar Rayampallimadam"/>
    <s v="India"/>
    <s v="Hyderabad"/>
    <s v="7B"/>
    <n v="30.5"/>
    <s v="Abhay Mishal"/>
    <s v="Operate Maintain and Improve Facilities "/>
    <s v="GDC Labor"/>
    <x v="0"/>
    <m/>
    <n v="165.87"/>
    <n v="209.51999999999998"/>
    <n v="174.6"/>
    <n v="165.87"/>
    <n v="200.79"/>
    <n v="174.6"/>
    <n v="218.25"/>
    <n v="165.87"/>
    <n v="157.13999999999999"/>
    <n v="218.25"/>
    <n v="165.87"/>
    <m/>
    <n v="0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2OG6"/>
    <s v="002OG6744"/>
    <s v="Suseela Vavilala"/>
    <s v="India"/>
    <s v="Hyderabad"/>
    <s v="7A"/>
    <n v="29.5"/>
    <s v="Abhay Mishal"/>
    <s v="Manage Goods and Services"/>
    <s v="GDC Labor"/>
    <x v="0"/>
    <n v="165.87"/>
    <n v="165.87"/>
    <n v="209.51999999999998"/>
    <n v="174.6"/>
    <n v="110"/>
    <n v="200.79"/>
    <n v="174.6"/>
    <n v="218.25"/>
    <n v="165.87"/>
    <n v="157.13999999999999"/>
    <n v="218.25"/>
    <n v="165.87"/>
    <m/>
    <n v="4893.165"/>
    <n v="4893.165"/>
    <n v="6180.8399999999992"/>
    <n v="5150.7"/>
    <n v="3245"/>
    <n v="5923.3049999999994"/>
    <n v="5150.7"/>
    <n v="6438.375"/>
    <n v="4893.165"/>
    <n v="4635.6299999999992"/>
    <n v="6438.375"/>
    <n v="4893.165"/>
    <n v="1"/>
  </r>
  <r>
    <s v="Persistent"/>
    <x v="4"/>
    <s v="0054DM"/>
    <s v="0054DM744"/>
    <s v="Darshan SK"/>
    <s v="India"/>
    <s v="Bangalore"/>
    <s v="7A"/>
    <n v="29.5"/>
    <s v="Abhay Mishal"/>
    <s v="Manage Goods and Services"/>
    <s v="GDC Labor"/>
    <x v="0"/>
    <m/>
    <m/>
    <m/>
    <m/>
    <n v="165.87"/>
    <n v="200.79"/>
    <n v="174.6"/>
    <n v="218.25"/>
    <n v="165.87"/>
    <n v="157.13999999999999"/>
    <n v="218.25"/>
    <n v="165.87"/>
    <m/>
    <n v="0"/>
    <n v="0"/>
    <n v="0"/>
    <n v="0"/>
    <n v="4893.165"/>
    <n v="5923.3049999999994"/>
    <n v="5150.7"/>
    <n v="6438.375"/>
    <n v="4893.165"/>
    <n v="4635.6299999999992"/>
    <n v="6438.375"/>
    <n v="4893.165"/>
    <n v="1"/>
  </r>
  <r>
    <s v="Persistent"/>
    <x v="4"/>
    <s v="000Z8A"/>
    <s v="000Z8A744"/>
    <s v="Vempati Narayana"/>
    <s v="India"/>
    <s v="Hyderabad"/>
    <s v="6B"/>
    <n v="19.5"/>
    <s v="Mukul Koranne"/>
    <s v="Basis &amp; Monitoring"/>
    <s v="GDC Labor"/>
    <x v="0"/>
    <n v="165.87"/>
    <n v="45"/>
    <m/>
    <m/>
    <m/>
    <m/>
    <m/>
    <m/>
    <m/>
    <m/>
    <m/>
    <m/>
    <s v="LWD - Feb 6, 2026"/>
    <n v="3234.4650000000001"/>
    <n v="877.5"/>
    <n v="0"/>
    <n v="0"/>
    <n v="0"/>
    <n v="0"/>
    <n v="0"/>
    <n v="0"/>
    <n v="0"/>
    <n v="0"/>
    <n v="0"/>
    <n v="0"/>
    <n v="1"/>
  </r>
  <r>
    <s v="Persistent"/>
    <x v="4"/>
    <s v="003LGN"/>
    <s v="003LGN744"/>
    <s v="Mamidi Venkataramana"/>
    <s v="India"/>
    <s v="Hyderabad"/>
    <s v="7A"/>
    <n v="24.5"/>
    <s v="Abhay Mishal"/>
    <s v="Manage Financial Resources"/>
    <s v="GDC Labor"/>
    <x v="0"/>
    <n v="165.87"/>
    <n v="165.87"/>
    <n v="209.51999999999998"/>
    <n v="174.6"/>
    <n v="126"/>
    <n v="200.79"/>
    <n v="174.6"/>
    <n v="218.25"/>
    <n v="165.87"/>
    <n v="157.13999999999999"/>
    <n v="218.25"/>
    <n v="165.87"/>
    <m/>
    <n v="4063.8150000000001"/>
    <n v="4063.8150000000001"/>
    <n v="5133.24"/>
    <n v="4277.7"/>
    <n v="3087"/>
    <n v="4919.3549999999996"/>
    <n v="4277.7"/>
    <n v="5347.125"/>
    <n v="4063.8150000000001"/>
    <n v="3849.93"/>
    <n v="5347.125"/>
    <n v="4063.8150000000001"/>
    <n v="1"/>
  </r>
  <r>
    <s v="Persistent"/>
    <x v="4"/>
    <s v="002NKO"/>
    <s v="002NKO744"/>
    <s v="Paresh Gatta"/>
    <s v="Landed"/>
    <s v="Canada"/>
    <n v="7"/>
    <n v="160"/>
    <s v="Abhay Mishal"/>
    <s v="Manage Goods and Services"/>
    <s v="Non GDC Labor"/>
    <x v="1"/>
    <n v="70"/>
    <n v="152"/>
    <n v="192"/>
    <n v="160"/>
    <n v="152"/>
    <n v="200"/>
    <n v="152"/>
    <n v="192"/>
    <n v="152"/>
    <n v="152"/>
    <n v="192"/>
    <n v="152"/>
    <s v="15 days leave"/>
    <n v="11200"/>
    <n v="24320"/>
    <n v="30720"/>
    <n v="25600"/>
    <n v="24320"/>
    <n v="32000"/>
    <n v="24320"/>
    <n v="30720"/>
    <n v="24320"/>
    <n v="24320"/>
    <n v="30720"/>
    <n v="24320"/>
    <n v="1"/>
  </r>
  <r>
    <s v="Persistent"/>
    <x v="4"/>
    <s v="0020OH"/>
    <s v="0020OH744"/>
    <s v="Sudhakar Kumar"/>
    <s v="Landed"/>
    <s v="Canada"/>
    <n v="7"/>
    <n v="160"/>
    <s v="Abhay Mishal"/>
    <s v="Manage Goods and Services"/>
    <s v="Non GDC Labor"/>
    <x v="1"/>
    <n v="152"/>
    <n v="152"/>
    <n v="192"/>
    <n v="160"/>
    <n v="152"/>
    <n v="200"/>
    <n v="152"/>
    <n v="192"/>
    <n v="152"/>
    <n v="152"/>
    <n v="192"/>
    <n v="152"/>
    <m/>
    <n v="24320"/>
    <n v="24320"/>
    <n v="30720"/>
    <n v="25600"/>
    <n v="24320"/>
    <n v="32000"/>
    <n v="24320"/>
    <n v="30720"/>
    <n v="24320"/>
    <n v="24320"/>
    <n v="30720"/>
    <n v="24320"/>
    <n v="1"/>
  </r>
  <r>
    <s v="Persistent"/>
    <x v="4"/>
    <s v="0352B7"/>
    <s v="0352B7744"/>
    <s v="Yogesh Mishra"/>
    <s v="Landed"/>
    <s v="Canada"/>
    <n v="7"/>
    <n v="88.5"/>
    <s v="Abhay Mishal"/>
    <s v="Manage Financial Resources"/>
    <s v="Non GDC Labor"/>
    <x v="1"/>
    <n v="152"/>
    <n v="152"/>
    <n v="192"/>
    <n v="80"/>
    <m/>
    <m/>
    <m/>
    <m/>
    <m/>
    <m/>
    <m/>
    <m/>
    <m/>
    <n v="13452"/>
    <n v="13452"/>
    <n v="16992"/>
    <n v="7080"/>
    <n v="0"/>
    <n v="0"/>
    <n v="0"/>
    <n v="0"/>
    <n v="0"/>
    <n v="0"/>
    <n v="0"/>
    <n v="0"/>
    <n v="1"/>
  </r>
  <r>
    <s v="Persistent"/>
    <x v="4"/>
    <s v="0352B7"/>
    <s v="0352B7744"/>
    <s v="Yogesh Mishra"/>
    <s v="CIC Calgary"/>
    <s v="Canada"/>
    <n v="7"/>
    <n v="88.5"/>
    <s v="Abhay Mishal"/>
    <s v="Manage Financial Resources"/>
    <s v="Non GDC Labor"/>
    <x v="1"/>
    <m/>
    <m/>
    <m/>
    <n v="80"/>
    <n v="152"/>
    <n v="200"/>
    <n v="152"/>
    <n v="192"/>
    <n v="152"/>
    <n v="152"/>
    <n v="192"/>
    <n v="152"/>
    <m/>
    <n v="0"/>
    <n v="0"/>
    <n v="0"/>
    <n v="7080"/>
    <n v="13452"/>
    <n v="17700"/>
    <n v="13452"/>
    <n v="16992"/>
    <n v="13452"/>
    <n v="13452"/>
    <n v="16992"/>
    <n v="13452"/>
    <n v="1"/>
  </r>
  <r>
    <s v="Persistent"/>
    <x v="4"/>
    <s v="000H2B"/>
    <s v="000H2B744"/>
    <s v="Gedela Maanasa"/>
    <s v="Landed"/>
    <s v="Canada"/>
    <n v="6"/>
    <n v="98"/>
    <s v="Nikita Agrawal"/>
    <s v="Manage Supply and Products - SAP"/>
    <s v="Non GDC Labor"/>
    <x v="1"/>
    <n v="152"/>
    <n v="152"/>
    <n v="192"/>
    <n v="160"/>
    <n v="152"/>
    <n v="200"/>
    <n v="152"/>
    <n v="192"/>
    <n v="152"/>
    <n v="152"/>
    <n v="192"/>
    <n v="152"/>
    <m/>
    <n v="14896"/>
    <n v="14896"/>
    <n v="18816"/>
    <n v="15680"/>
    <n v="14896"/>
    <n v="19600"/>
    <n v="14896"/>
    <n v="18816"/>
    <n v="14896"/>
    <n v="14896"/>
    <n v="18816"/>
    <n v="14896"/>
    <n v="1"/>
  </r>
  <r>
    <s v="Persistent"/>
    <x v="4"/>
    <s v="08829Z"/>
    <s v="08829Z744"/>
    <s v="Bypa Sushma Rao"/>
    <s v="CIC Calgary"/>
    <s v="Canada"/>
    <n v="7"/>
    <n v="73"/>
    <s v="Nikita Agrawal"/>
    <s v="Manage Supply and Products - SAP"/>
    <s v="Non GDC Labor"/>
    <x v="1"/>
    <n v="171"/>
    <n v="171"/>
    <n v="216"/>
    <n v="180"/>
    <n v="36"/>
    <m/>
    <m/>
    <m/>
    <m/>
    <m/>
    <m/>
    <m/>
    <s v="LWD 1st May2026"/>
    <n v="12483"/>
    <n v="12483"/>
    <n v="15768"/>
    <n v="13140"/>
    <n v="2628"/>
    <n v="0"/>
    <n v="0"/>
    <n v="0"/>
    <n v="0"/>
    <n v="0"/>
    <n v="0"/>
    <n v="0"/>
    <n v="0"/>
  </r>
  <r>
    <s v="Persistent"/>
    <x v="4"/>
    <s v="0F1725"/>
    <s v="0F1725649"/>
    <s v="Krisia Mele Montealegre"/>
    <s v="CIC Calgary"/>
    <s v="Canada"/>
    <n v="7"/>
    <n v="88.5"/>
    <s v="Nikita Agrawal"/>
    <s v="Manage Supply and Products - SAP"/>
    <s v="Non GDC Labor"/>
    <x v="1"/>
    <m/>
    <m/>
    <m/>
    <m/>
    <n v="108"/>
    <n v="225"/>
    <n v="171"/>
    <n v="216"/>
    <n v="171"/>
    <n v="171"/>
    <n v="216"/>
    <n v="171"/>
    <m/>
    <n v="0"/>
    <n v="0"/>
    <n v="0"/>
    <n v="0"/>
    <n v="9558"/>
    <n v="19912.5"/>
    <n v="15133.5"/>
    <n v="19116"/>
    <n v="15133.5"/>
    <n v="15133.5"/>
    <n v="19116"/>
    <n v="15133.5"/>
    <n v="1"/>
  </r>
  <r>
    <s v="Persistent"/>
    <x v="4"/>
    <s v="004FLW"/>
    <s v="004FLW744"/>
    <s v="Sativada Vijay Kumar"/>
    <s v="India"/>
    <s v="Hyderabad"/>
    <s v="7B"/>
    <n v="30.5"/>
    <s v="Nikita Agrawal"/>
    <s v="Manage Supply and Products - SAP"/>
    <s v="GDC Labor"/>
    <x v="0"/>
    <n v="165.87"/>
    <n v="165.87"/>
    <n v="209.51999999999998"/>
    <n v="174.6"/>
    <n v="165.87"/>
    <n v="180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5490"/>
    <n v="5325.3"/>
    <n v="6656.625"/>
    <n v="5059.0349999999999"/>
    <n v="4792.7699999999995"/>
    <n v="6656.625"/>
    <n v="5059.0349999999999"/>
    <n v="1"/>
  </r>
  <r>
    <s v="Persistent"/>
    <x v="4"/>
    <s v="SV3BMV"/>
    <s v="SV3BMV744"/>
    <s v="Kavya D"/>
    <s v="India"/>
    <s v="Mysore"/>
    <s v="7A"/>
    <n v="23"/>
    <s v="Nikita Agrawal"/>
    <s v="Manage Supply and Products - S2P"/>
    <s v="GDC Labor"/>
    <x v="5"/>
    <n v="166.84"/>
    <n v="166.84"/>
    <n v="210.48999999999998"/>
    <n v="166.84"/>
    <n v="166.84"/>
    <n v="202.73"/>
    <n v="174.6"/>
    <n v="218.25"/>
    <n v="166.84"/>
    <n v="159.07999999999998"/>
    <n v="210.48999999999998"/>
    <n v="166.84"/>
    <m/>
    <n v="3837.32"/>
    <n v="3837.32"/>
    <n v="4841.2699999999995"/>
    <n v="3837.32"/>
    <n v="3837.32"/>
    <n v="4662.79"/>
    <n v="4015.7999999999997"/>
    <n v="5019.75"/>
    <n v="3837.32"/>
    <n v="3658.8399999999997"/>
    <n v="4841.2699999999995"/>
    <n v="3837.32"/>
    <n v="1"/>
  </r>
  <r>
    <s v="Persistent"/>
    <x v="4"/>
    <s v="003DSC"/>
    <s v="003DSC744"/>
    <s v="Binaya Pradhan"/>
    <s v="India"/>
    <s v="Bangalore"/>
    <s v="7B"/>
    <n v="30.5"/>
    <s v="Nikita Agrawal"/>
    <s v="Manage Supply and Products - SAP"/>
    <s v="GDC Labor"/>
    <x v="0"/>
    <n v="165.87"/>
    <n v="165.87"/>
    <n v="209.51999999999998"/>
    <n v="174.6"/>
    <n v="165.87"/>
    <n v="191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5849.5949999999993"/>
    <n v="5325.3"/>
    <n v="6656.625"/>
    <n v="5059.0349999999999"/>
    <n v="4792.7699999999995"/>
    <n v="6656.625"/>
    <n v="5059.0349999999999"/>
    <n v="1"/>
  </r>
  <r>
    <s v="Persistent"/>
    <x v="4"/>
    <s v="004JEE"/>
    <s v="004JEE744"/>
    <s v="Vineet Arora"/>
    <s v="India"/>
    <s v="Noida"/>
    <s v="7B"/>
    <n v="37.5"/>
    <s v="Nikita Agrawal"/>
    <s v="Manage Supply and Products - SAP"/>
    <s v="GDC Labor"/>
    <x v="0"/>
    <n v="165.87"/>
    <n v="165.87"/>
    <n v="45"/>
    <m/>
    <m/>
    <m/>
    <m/>
    <m/>
    <m/>
    <m/>
    <m/>
    <m/>
    <s v="LWD 27Feb 2026"/>
    <n v="6220.125"/>
    <n v="6220.125"/>
    <n v="1687.5"/>
    <n v="0"/>
    <n v="0"/>
    <n v="0"/>
    <n v="0"/>
    <n v="0"/>
    <n v="0"/>
    <n v="0"/>
    <n v="0"/>
    <n v="0"/>
    <n v="0"/>
  </r>
  <r>
    <s v="Persistent"/>
    <x v="4"/>
    <s v="0060TJ"/>
    <s v="0060TJ744"/>
    <s v="SIVA KUMAR UPPARI"/>
    <s v="India"/>
    <s v="Hyderabad"/>
    <s v="7B"/>
    <n v="30.5"/>
    <s v="Nikita Agrawal"/>
    <s v="Manage Supply and Products - SAP"/>
    <s v="GDC Labor"/>
    <x v="0"/>
    <m/>
    <n v="117"/>
    <n v="209.51999999999998"/>
    <n v="174.6"/>
    <n v="165.87"/>
    <n v="200.79"/>
    <n v="174.6"/>
    <n v="218.25"/>
    <n v="165.87"/>
    <n v="157.13999999999999"/>
    <n v="218.25"/>
    <n v="165.87"/>
    <s v="Vineet Arora - Backfill"/>
    <n v="0"/>
    <n v="3568.5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5BG7"/>
    <s v="005BG7744"/>
    <s v="Kiran Madapura"/>
    <s v="India"/>
    <s v="Bangalore"/>
    <n v="8"/>
    <n v="41"/>
    <s v="Nikita Agrawal"/>
    <s v="Manage Supply and Products - SAP"/>
    <s v="GDC Labor"/>
    <x v="0"/>
    <n v="165.87"/>
    <n v="165.87"/>
    <n v="209.51999999999998"/>
    <n v="165.87"/>
    <n v="165.87"/>
    <n v="191.52"/>
    <n v="174.6"/>
    <n v="218.25"/>
    <n v="165.87"/>
    <n v="157.13999999999999"/>
    <n v="218.25"/>
    <n v="165.87"/>
    <m/>
    <n v="6800.67"/>
    <n v="6800.67"/>
    <n v="8590.32"/>
    <n v="6800.67"/>
    <n v="6800.67"/>
    <n v="7852.3200000000006"/>
    <n v="7158.5999999999995"/>
    <n v="8948.25"/>
    <n v="6800.67"/>
    <n v="6442.74"/>
    <n v="8948.25"/>
    <n v="6800.67"/>
    <n v="1"/>
  </r>
  <r>
    <s v="Persistent"/>
    <x v="4"/>
    <s v="003YGN"/>
    <s v="003YGN744"/>
    <s v="Ranjith Lingam"/>
    <s v="India"/>
    <s v="Hyderabad"/>
    <s v="7B"/>
    <n v="30.5"/>
    <s v="Nikita Agrawal"/>
    <s v="Manage Supply and Products - SAP"/>
    <s v="GDC Labor"/>
    <x v="0"/>
    <n v="165.87"/>
    <n v="165.87"/>
    <n v="209.51999999999998"/>
    <n v="174.6"/>
    <n v="144"/>
    <n v="189"/>
    <n v="174.6"/>
    <n v="218.25"/>
    <n v="165.87"/>
    <n v="157.13999999999999"/>
    <n v="218.25"/>
    <n v="165.87"/>
    <m/>
    <n v="5059.0349999999999"/>
    <n v="5059.0349999999999"/>
    <n v="6390.36"/>
    <n v="5325.3"/>
    <n v="4392"/>
    <n v="5764.5"/>
    <n v="5325.3"/>
    <n v="6656.625"/>
    <n v="5059.0349999999999"/>
    <n v="4792.7699999999995"/>
    <n v="6656.625"/>
    <n v="5059.0349999999999"/>
    <n v="1"/>
  </r>
  <r>
    <s v="Persistent"/>
    <x v="4"/>
    <s v="003YFS"/>
    <s v="003YFS744"/>
    <s v="Lalitha Chennangod"/>
    <s v="India"/>
    <s v="Bangalore"/>
    <s v="7A"/>
    <n v="29.5"/>
    <s v="Nikita Agrawal"/>
    <s v="Manage Supply and Products - STO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893.165"/>
    <n v="4893.165"/>
    <n v="6180.8399999999992"/>
    <n v="4893.165"/>
    <n v="4893.165"/>
    <n v="6180.8399999999992"/>
    <n v="5150.7"/>
    <n v="6438.375"/>
    <n v="4893.165"/>
    <n v="4635.6299999999992"/>
    <n v="6438.375"/>
    <n v="4893.165"/>
    <n v="1"/>
  </r>
  <r>
    <s v="Persistent"/>
    <x v="4"/>
    <s v="002BPK"/>
    <s v="002BPK744"/>
    <s v="Anjali Kadariya"/>
    <s v="Landed"/>
    <s v="Canada"/>
    <n v="6"/>
    <n v="136"/>
    <s v="Nikita Agrawal"/>
    <s v="Manage Supply and Products - STO"/>
    <s v="Non GDC Labor"/>
    <x v="1"/>
    <n v="152"/>
    <n v="152"/>
    <n v="192"/>
    <n v="160"/>
    <n v="152"/>
    <n v="200"/>
    <n v="152"/>
    <n v="192"/>
    <n v="152"/>
    <n v="152"/>
    <n v="192"/>
    <n v="152"/>
    <m/>
    <n v="20672"/>
    <n v="20672"/>
    <n v="26112"/>
    <n v="21760"/>
    <n v="20672"/>
    <n v="27200"/>
    <n v="20672"/>
    <n v="26112"/>
    <n v="20672"/>
    <n v="20672"/>
    <n v="26112"/>
    <n v="20672"/>
    <n v="1"/>
  </r>
  <r>
    <s v="Persistent"/>
    <x v="4"/>
    <s v="0046W9"/>
    <s v="0046W9744"/>
    <s v="Rakesh Lokkakulla"/>
    <s v="India"/>
    <s v="Hyderabad"/>
    <s v="7A"/>
    <n v="29.5"/>
    <s v="Nikita Agrawal"/>
    <s v="Manage Supply and Products - SAP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4"/>
    <s v="02416K"/>
    <s v="02416K744"/>
    <s v="Tanveer Ahmad"/>
    <s v="India"/>
    <s v="Gurgaon"/>
    <s v="7B"/>
    <n v="37"/>
    <s v="Nikita Agrawal"/>
    <s v="Manage Supply and Products - STO"/>
    <s v="GDC Labor"/>
    <x v="0"/>
    <n v="165.87"/>
    <n v="165.87"/>
    <n v="164.52"/>
    <n v="0"/>
    <n v="0"/>
    <n v="0"/>
    <n v="0"/>
    <n v="0"/>
    <n v="0"/>
    <n v="0"/>
    <n v="0"/>
    <n v="0"/>
    <s v="LWD 20th March"/>
    <n v="6137.1900000000005"/>
    <n v="6137.1900000000005"/>
    <n v="6087.2400000000007"/>
    <n v="0"/>
    <n v="0"/>
    <n v="0"/>
    <n v="0"/>
    <n v="0"/>
    <n v="0"/>
    <n v="0"/>
    <n v="0"/>
    <n v="0"/>
    <n v="0"/>
  </r>
  <r>
    <s v="Persistent"/>
    <x v="4"/>
    <s v="030943"/>
    <s v="030943744"/>
    <s v="JAYASHREEDOSS DURAIRAJ"/>
    <s v="India"/>
    <s v="Chennai"/>
    <s v="7B"/>
    <n v="30.5"/>
    <s v="Nikita Agrawal"/>
    <s v="Manage Supply and Products - STO"/>
    <s v="GDC Labor"/>
    <x v="0"/>
    <m/>
    <m/>
    <n v="209.51999999999998"/>
    <n v="174.6"/>
    <n v="165.87"/>
    <n v="200.79"/>
    <n v="174.6"/>
    <n v="218.25"/>
    <n v="165.87"/>
    <n v="157.13999999999999"/>
    <n v="218.25"/>
    <n v="165.87"/>
    <s v="Backfill of Tanveer Ahmad"/>
    <n v="0"/>
    <n v="0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4"/>
    <s v="005PQU"/>
    <s v="005PQU744"/>
    <s v="Siddhardha Balla"/>
    <s v="India"/>
    <s v="Hyderabad"/>
    <s v="7B"/>
    <n v="30.5"/>
    <s v="Nikita Agrawal"/>
    <s v="Manage Supply and Products - S2P"/>
    <s v="GDC Labor"/>
    <x v="0"/>
    <n v="165.87"/>
    <n v="165.87"/>
    <n v="209.51999999999998"/>
    <n v="174.6"/>
    <n v="165.87"/>
    <n v="18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5764.5"/>
    <n v="5325.3"/>
    <n v="6656.625"/>
    <n v="5059.0349999999999"/>
    <n v="4792.7699999999995"/>
    <n v="6656.625"/>
    <n v="5059.0349999999999"/>
    <n v="1"/>
  </r>
  <r>
    <s v="Persistent"/>
    <x v="4"/>
    <s v="002UEY"/>
    <s v="002UEY744"/>
    <s v="Naveen Kumar Pasupula"/>
    <s v="Landed"/>
    <s v="Canada"/>
    <n v="7"/>
    <n v="112"/>
    <s v="Abhay Mishal"/>
    <s v="Operate Maintain and Improve Facilities "/>
    <s v="Non GDC Labor"/>
    <x v="1"/>
    <n v="152"/>
    <n v="152"/>
    <n v="192"/>
    <n v="160"/>
    <n v="152"/>
    <n v="200"/>
    <n v="152"/>
    <n v="192"/>
    <n v="152"/>
    <n v="152"/>
    <n v="192"/>
    <n v="152"/>
    <m/>
    <n v="17024"/>
    <n v="17024"/>
    <n v="21504"/>
    <n v="17920"/>
    <n v="17024"/>
    <n v="22400"/>
    <n v="17024"/>
    <n v="21504"/>
    <n v="17024"/>
    <n v="17024"/>
    <n v="21504"/>
    <n v="17024"/>
    <n v="1"/>
  </r>
  <r>
    <s v="Persistent"/>
    <x v="4"/>
    <s v="002RSV"/>
    <s v="002RSV744"/>
    <s v="Naresh Palle"/>
    <s v="Landed"/>
    <s v="Canada"/>
    <n v="7"/>
    <n v="160"/>
    <s v="Nikita Agrawal"/>
    <s v="Manage Supply and Products - SAP"/>
    <s v="Non GDC Labor"/>
    <x v="1"/>
    <n v="152"/>
    <n v="152"/>
    <n v="192"/>
    <n v="160"/>
    <n v="152"/>
    <n v="200"/>
    <n v="152"/>
    <n v="192"/>
    <n v="152"/>
    <n v="152"/>
    <n v="192"/>
    <n v="152"/>
    <m/>
    <n v="24320"/>
    <n v="24320"/>
    <n v="30720"/>
    <n v="25600"/>
    <n v="24320"/>
    <n v="32000"/>
    <n v="24320"/>
    <n v="30720"/>
    <n v="24320"/>
    <n v="24320"/>
    <n v="30720"/>
    <n v="24320"/>
    <n v="1"/>
  </r>
  <r>
    <s v="Persistent"/>
    <x v="4"/>
    <s v="005M24"/>
    <s v="005M24744"/>
    <s v="Bhaskar Rathod"/>
    <s v="India"/>
    <s v="Pune"/>
    <s v="7B"/>
    <n v="30.5"/>
    <s v="Nikita Agrawal"/>
    <s v="Manage Supply and Products - S2P"/>
    <s v="GDC Labor"/>
    <x v="0"/>
    <m/>
    <n v="165.87"/>
    <n v="200.79"/>
    <n v="174.6"/>
    <n v="165.87"/>
    <n v="209.51999999999998"/>
    <n v="174.6"/>
    <n v="218.25"/>
    <n v="165.87"/>
    <n v="157.13999999999999"/>
    <n v="209.51999999999998"/>
    <n v="165.87"/>
    <s v="Vijaya Ulchala - Backfill"/>
    <n v="0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4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53465.436749999993"/>
    <n v="54541.839749999985"/>
    <n v="69862.253249999965"/>
    <n v="54009.075749999996"/>
    <n v="51342.902249999985"/>
    <n v="64421.928749999963"/>
    <n v="54593.054999999986"/>
    <n v="66842.118000000002"/>
    <n v="50379.229499999987"/>
    <n v="48170.248499999987"/>
    <n v="65814.305999999997"/>
    <n v="49945.784999999989"/>
    <m/>
  </r>
  <r>
    <s v="Persistent"/>
    <x v="4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8000"/>
    <n v="8000"/>
    <n v="10000"/>
    <n v="8000"/>
    <n v="8000"/>
    <n v="10000"/>
    <n v="8000"/>
    <n v="8000"/>
    <n v="10000"/>
    <n v="8000"/>
    <n v="8000"/>
    <n v="10000"/>
    <m/>
  </r>
  <r>
    <s v="Persistent"/>
    <x v="4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3888"/>
    <n v="3888"/>
    <n v="4860"/>
    <n v="3888"/>
    <n v="3888"/>
    <n v="4860"/>
    <n v="3888"/>
    <n v="4860"/>
    <n v="3888"/>
    <n v="3888"/>
    <n v="4860"/>
    <n v="3888"/>
    <m/>
  </r>
  <r>
    <s v="Persistent"/>
    <x v="5"/>
    <s v="0B6910"/>
    <s v="0B6910649"/>
    <s v="Pramod Bhat"/>
    <s v="Local"/>
    <s v="Guadalajara"/>
    <n v="8"/>
    <n v="132.5"/>
    <s v="Abhay Mishal"/>
    <s v="Testing COE"/>
    <s v="GDC Labor"/>
    <x v="0"/>
    <n v="171"/>
    <n v="171"/>
    <n v="216"/>
    <n v="180"/>
    <n v="171"/>
    <n v="225"/>
    <n v="171"/>
    <n v="216"/>
    <n v="171"/>
    <n v="171"/>
    <n v="216"/>
    <n v="171"/>
    <m/>
    <n v="22657.5"/>
    <n v="22657.5"/>
    <n v="28620"/>
    <n v="23850"/>
    <n v="22657.5"/>
    <n v="29812.5"/>
    <n v="22657.5"/>
    <n v="28620"/>
    <n v="22657.5"/>
    <n v="22657.5"/>
    <n v="28620"/>
    <n v="22657.5"/>
    <n v="1"/>
  </r>
  <r>
    <s v="Persistent"/>
    <x v="5"/>
    <n v="62992"/>
    <s v="062992781"/>
    <s v="Ruben Saldivar"/>
    <s v="Mexico"/>
    <s v="Guadalajara"/>
    <n v="8"/>
    <n v="89"/>
    <s v="Abhay Mishal"/>
    <s v="Testing COE"/>
    <s v="GDC Labor"/>
    <x v="0"/>
    <n v="171"/>
    <n v="171"/>
    <n v="216"/>
    <n v="180"/>
    <n v="171"/>
    <n v="225"/>
    <n v="171"/>
    <n v="216"/>
    <n v="171"/>
    <n v="171"/>
    <n v="216"/>
    <n v="171"/>
    <m/>
    <n v="15219"/>
    <n v="15219"/>
    <n v="19224"/>
    <n v="16020"/>
    <n v="15219"/>
    <n v="20025"/>
    <n v="15219"/>
    <n v="19224"/>
    <n v="15219"/>
    <n v="15219"/>
    <n v="19224"/>
    <n v="15219"/>
    <n v="1"/>
  </r>
  <r>
    <s v="Persistent"/>
    <x v="5"/>
    <s v="0053ON"/>
    <s v="0053ON744"/>
    <s v="Meghana Tulasi Challapalli"/>
    <s v="India"/>
    <s v="Hyderabad"/>
    <s v="7A"/>
    <n v="14"/>
    <s v="Abhay Mishal"/>
    <s v="Testing COE"/>
    <s v="GDC Labor"/>
    <x v="0"/>
    <m/>
    <m/>
    <m/>
    <m/>
    <m/>
    <n v="200.79"/>
    <n v="174.6"/>
    <n v="218.25"/>
    <n v="165.87"/>
    <n v="157.13999999999999"/>
    <n v="218.25"/>
    <n v="165.87"/>
    <m/>
    <n v="0"/>
    <n v="0"/>
    <n v="0"/>
    <n v="0"/>
    <n v="0"/>
    <n v="2811.06"/>
    <n v="2444.4"/>
    <n v="3055.5"/>
    <n v="2322.1800000000003"/>
    <n v="2199.96"/>
    <n v="3055.5"/>
    <n v="2322.1800000000003"/>
    <n v="1"/>
  </r>
  <r>
    <s v="Persistent"/>
    <x v="5"/>
    <s v="00221Z"/>
    <s v="00221Z744"/>
    <s v="Venkata Naveen Muchu"/>
    <s v="India"/>
    <s v="Hyderabad"/>
    <s v="6B"/>
    <n v="19"/>
    <s v="Abhay Mishal"/>
    <s v="Testing COE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5"/>
    <s v="0068OE"/>
    <s v="0068OE744"/>
    <s v="Akshaya Das"/>
    <s v="India"/>
    <s v="Kochi"/>
    <s v="6B"/>
    <n v="17.5"/>
    <s v="Abhay Mishal"/>
    <s v="Testing COE"/>
    <s v="GDC Labor"/>
    <x v="0"/>
    <m/>
    <m/>
    <m/>
    <m/>
    <n v="165.87"/>
    <n v="200.79"/>
    <n v="174.6"/>
    <n v="218.25"/>
    <n v="165.87"/>
    <n v="157.13999999999999"/>
    <n v="218.25"/>
    <n v="165.87"/>
    <m/>
    <n v="0"/>
    <n v="0"/>
    <n v="0"/>
    <n v="0"/>
    <n v="2902.7249999999999"/>
    <n v="3513.8249999999998"/>
    <n v="3055.5"/>
    <n v="3819.375"/>
    <n v="2902.7249999999999"/>
    <n v="2749.95"/>
    <n v="3819.375"/>
    <n v="2902.7249999999999"/>
    <n v="1"/>
  </r>
  <r>
    <s v="Persistent"/>
    <x v="5"/>
    <s v="005G8U"/>
    <s v="005G8U744"/>
    <s v="Praveen Devarkar"/>
    <s v="India"/>
    <s v="Pune"/>
    <s v="7B"/>
    <n v="30.5"/>
    <s v="Abhay Mishal"/>
    <s v="Testing COE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5"/>
    <s v="0051PM"/>
    <s v="0051PM744"/>
    <s v="Varada Joglekar"/>
    <s v="India"/>
    <s v="Pune"/>
    <s v="7A"/>
    <n v="24.5"/>
    <s v="Abhay Mishal"/>
    <s v="Testing COE"/>
    <s v="GDC Labor"/>
    <x v="0"/>
    <n v="174.6"/>
    <n v="165.87"/>
    <n v="200.79"/>
    <n v="174.6"/>
    <n v="148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3626"/>
    <n v="5133.24"/>
    <n v="4277.7"/>
    <n v="5347.125"/>
    <n v="4063.8150000000001"/>
    <n v="3849.93"/>
    <n v="5133.24"/>
    <n v="4063.8150000000001"/>
    <n v="1"/>
  </r>
  <r>
    <s v="Persistent"/>
    <x v="5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1913.1794999999997"/>
    <n v="1841.1570000000002"/>
    <n v="2253.6494999999995"/>
    <n v="1938.0600000000002"/>
    <n v="2210.8935000000001"/>
    <n v="3249.5242500000004"/>
    <n v="2763.0449999999996"/>
    <n v="3453.8062500000001"/>
    <n v="2624.89275"/>
    <n v="2486.7404999999999"/>
    <n v="3381.7837499999996"/>
    <n v="2624.89275"/>
    <m/>
  </r>
  <r>
    <s v="Persistent"/>
    <x v="5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1000"/>
    <n v="1000"/>
    <n v="1200"/>
    <n v="1000"/>
    <n v="1000"/>
    <n v="1200"/>
    <n v="1000"/>
    <n v="1200"/>
    <n v="1000"/>
    <n v="1000"/>
    <n v="1200"/>
    <n v="1000"/>
    <m/>
  </r>
  <r>
    <s v="Persistent"/>
    <x v="5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3888"/>
    <n v="3888"/>
    <n v="4860"/>
    <n v="3888"/>
    <n v="3888"/>
    <n v="4860"/>
    <n v="3888"/>
    <n v="4860"/>
    <n v="3888"/>
    <n v="3888"/>
    <n v="4860"/>
    <n v="3888"/>
    <m/>
  </r>
  <r>
    <s v="Persistent"/>
    <x v="6"/>
    <s v="0014RW"/>
    <s v="0014RW744"/>
    <s v="Chaitanya Adepu"/>
    <s v="Landed"/>
    <s v="Canada"/>
    <n v="7"/>
    <n v="160"/>
    <s v="Abhay Mishal"/>
    <s v="Integration"/>
    <s v="Non GDC Labor"/>
    <x v="1"/>
    <n v="152"/>
    <n v="152"/>
    <n v="192"/>
    <n v="160"/>
    <n v="152"/>
    <n v="200"/>
    <n v="152"/>
    <n v="192"/>
    <n v="152"/>
    <n v="152"/>
    <n v="192"/>
    <n v="152"/>
    <m/>
    <n v="24320"/>
    <n v="24320"/>
    <n v="30720"/>
    <n v="25600"/>
    <n v="24320"/>
    <n v="32000"/>
    <n v="24320"/>
    <n v="30720"/>
    <n v="24320"/>
    <n v="24320"/>
    <n v="30720"/>
    <n v="24320"/>
    <n v="1"/>
  </r>
  <r>
    <s v="Persistent"/>
    <x v="6"/>
    <s v="0017JC"/>
    <s v="0017JC744"/>
    <s v="Girish Varma"/>
    <s v="Landed"/>
    <s v="Canada"/>
    <n v="6"/>
    <n v="136"/>
    <s v="Abhay Mishal"/>
    <s v="Integration"/>
    <s v="Non GDC Labor"/>
    <x v="1"/>
    <n v="152"/>
    <n v="152"/>
    <n v="192"/>
    <n v="160"/>
    <n v="152"/>
    <n v="200"/>
    <n v="152"/>
    <n v="192"/>
    <n v="152"/>
    <n v="152"/>
    <n v="192"/>
    <n v="152"/>
    <m/>
    <n v="20672"/>
    <n v="20672"/>
    <n v="26112"/>
    <n v="21760"/>
    <n v="20672"/>
    <n v="27200"/>
    <n v="20672"/>
    <n v="26112"/>
    <n v="20672"/>
    <n v="20672"/>
    <n v="26112"/>
    <n v="20672"/>
    <n v="1"/>
  </r>
  <r>
    <s v="Persistent"/>
    <x v="6"/>
    <s v="004BGT"/>
    <s v="004BGT744"/>
    <s v="Satyanarayana Goddigoppula"/>
    <s v="India"/>
    <s v="Hyderabad"/>
    <s v="7A"/>
    <n v="29.5"/>
    <s v="Abhay Mishal"/>
    <s v="Integration"/>
    <s v="GDC Labor"/>
    <x v="0"/>
    <n v="165.87"/>
    <n v="165.87"/>
    <n v="209.51999999999998"/>
    <n v="174.6"/>
    <n v="126"/>
    <n v="200.79"/>
    <n v="174.6"/>
    <n v="218.25"/>
    <n v="165.87"/>
    <n v="157.13999999999999"/>
    <n v="218.25"/>
    <n v="165.87"/>
    <m/>
    <n v="4893.165"/>
    <n v="4893.165"/>
    <n v="6180.8399999999992"/>
    <n v="5150.7"/>
    <n v="3717"/>
    <n v="5923.3049999999994"/>
    <n v="5150.7"/>
    <n v="6438.375"/>
    <n v="4893.165"/>
    <n v="4635.6299999999992"/>
    <n v="6438.375"/>
    <n v="4893.165"/>
    <n v="1"/>
  </r>
  <r>
    <s v="Persistent"/>
    <x v="6"/>
    <s v="005ILE"/>
    <s v="005ILE744"/>
    <s v="Indranil Paul"/>
    <s v="India"/>
    <s v="Kolkata"/>
    <s v="7A"/>
    <n v="29.5"/>
    <s v="Abhay Mishal"/>
    <s v="Integration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6"/>
    <s v="002TDM"/>
    <s v="002TDM744"/>
    <s v="Srinath Chindam"/>
    <s v="India"/>
    <s v="Hyderabad"/>
    <s v="7B"/>
    <n v="30.5"/>
    <s v="Abhay Mishal"/>
    <s v="Integration"/>
    <s v="GDC Labor"/>
    <x v="0"/>
    <n v="165.87"/>
    <n v="165.87"/>
    <n v="209.51999999999998"/>
    <n v="174.6"/>
    <n v="165.87"/>
    <n v="161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4910.5"/>
    <n v="5325.3"/>
    <n v="6656.625"/>
    <n v="5059.0349999999999"/>
    <n v="4792.7699999999995"/>
    <n v="6656.625"/>
    <n v="5059.0349999999999"/>
    <n v="1"/>
  </r>
  <r>
    <s v="Persistent"/>
    <x v="6"/>
    <s v="005HAQ"/>
    <s v="005HAQ744"/>
    <s v="Arijit Biswas"/>
    <s v="India"/>
    <s v="Kolkata"/>
    <s v="7B"/>
    <n v="30.5"/>
    <s v="Abhay Mishal"/>
    <s v="Integration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6"/>
    <s v="002W7N"/>
    <s v="002W7N744"/>
    <s v="Kasi Viswanadh Nayinala"/>
    <s v="India"/>
    <s v="Hyderabad"/>
    <s v="7B"/>
    <n v="30.5"/>
    <s v="Abhay Mishal"/>
    <s v="Integration"/>
    <s v="GDC Labor"/>
    <x v="0"/>
    <n v="165.87"/>
    <n v="165.87"/>
    <n v="209.51999999999998"/>
    <n v="174.6"/>
    <n v="126"/>
    <n v="200.79"/>
    <n v="174.6"/>
    <n v="218.25"/>
    <n v="165.87"/>
    <n v="157.13999999999999"/>
    <n v="218.25"/>
    <n v="165.87"/>
    <m/>
    <n v="5059.0349999999999"/>
    <n v="5059.0349999999999"/>
    <n v="6390.36"/>
    <n v="5325.3"/>
    <n v="3843"/>
    <n v="6124.0949999999993"/>
    <n v="5325.3"/>
    <n v="6656.625"/>
    <n v="5059.0349999999999"/>
    <n v="4792.7699999999995"/>
    <n v="6656.625"/>
    <n v="5059.0349999999999"/>
    <n v="1"/>
  </r>
  <r>
    <s v="Persistent"/>
    <x v="6"/>
    <s v="0035BD"/>
    <s v="0035BD744"/>
    <s v="Ballamudi Gowtham"/>
    <s v="India"/>
    <s v="Hyderabad"/>
    <s v="6B"/>
    <n v="22.5"/>
    <s v="Abhay Mishal"/>
    <s v="Integration"/>
    <s v="GDC Labor"/>
    <x v="0"/>
    <n v="165.87"/>
    <n v="165.87"/>
    <n v="209.51999999999998"/>
    <n v="174.6"/>
    <n v="40"/>
    <m/>
    <m/>
    <m/>
    <m/>
    <m/>
    <m/>
    <m/>
    <s v="LWD - May 6, 2026"/>
    <n v="3732.0750000000003"/>
    <n v="3732.0750000000003"/>
    <n v="4714.2"/>
    <n v="3928.5"/>
    <n v="900"/>
    <n v="0"/>
    <n v="0"/>
    <n v="0"/>
    <n v="0"/>
    <n v="0"/>
    <n v="0"/>
    <n v="0"/>
    <n v="1"/>
  </r>
  <r>
    <s v="Persistent"/>
    <x v="6"/>
    <s v="004G08"/>
    <s v="004G08744"/>
    <s v="Nidi S G"/>
    <s v="India"/>
    <s v="Bangalore"/>
    <s v="6B"/>
    <n v="19"/>
    <s v="Abhay Mishal"/>
    <s v="Integration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3151.53"/>
    <n v="3151.53"/>
    <n v="3980.8799999999997"/>
    <n v="3151.53"/>
    <n v="3151.53"/>
    <n v="3980.8799999999997"/>
    <n v="3317.4"/>
    <n v="4146.75"/>
    <n v="3151.53"/>
    <n v="2985.66"/>
    <n v="4146.75"/>
    <n v="3151.53"/>
    <n v="1"/>
  </r>
  <r>
    <s v="Persistent"/>
    <x v="6"/>
    <s v="004F4O"/>
    <s v="004F4O744"/>
    <s v="Nirmal Chandra Pati"/>
    <s v="India"/>
    <s v="Bangalore"/>
    <n v="8"/>
    <n v="41"/>
    <s v="Abhay Mishal"/>
    <s v="Integration"/>
    <s v="GDC Labor"/>
    <x v="0"/>
    <m/>
    <m/>
    <m/>
    <m/>
    <n v="165.87"/>
    <n v="209.51999999999998"/>
    <n v="174.6"/>
    <n v="218.25"/>
    <n v="165.87"/>
    <n v="157.13999999999999"/>
    <n v="218.25"/>
    <n v="165.87"/>
    <m/>
    <n v="0"/>
    <n v="0"/>
    <n v="0"/>
    <n v="0"/>
    <n v="6800.67"/>
    <n v="8590.32"/>
    <n v="7158.5999999999995"/>
    <n v="8948.25"/>
    <n v="6800.67"/>
    <n v="6442.74"/>
    <n v="8948.25"/>
    <n v="6800.67"/>
    <n v="1"/>
  </r>
  <r>
    <s v="Persistent"/>
    <x v="6"/>
    <s v="004KS1"/>
    <s v="004KS1744"/>
    <s v="Vineeth Kalakonda"/>
    <s v="India"/>
    <s v="Hyderabad"/>
    <s v="7B"/>
    <n v="37.5"/>
    <s v="Abhay Mishal"/>
    <s v="Integration"/>
    <s v="GDC Labor"/>
    <x v="0"/>
    <n v="90"/>
    <m/>
    <m/>
    <m/>
    <m/>
    <m/>
    <m/>
    <m/>
    <m/>
    <m/>
    <m/>
    <m/>
    <s v="LWD - Jan 9, 2026"/>
    <n v="3375"/>
    <n v="0"/>
    <n v="0"/>
    <n v="0"/>
    <n v="0"/>
    <n v="0"/>
    <n v="0"/>
    <n v="0"/>
    <n v="0"/>
    <n v="0"/>
    <n v="0"/>
    <n v="0"/>
    <n v="0"/>
  </r>
  <r>
    <s v="Persistent"/>
    <x v="6"/>
    <s v="0010VQ"/>
    <s v="0010VQ744"/>
    <s v="Sakshi Suman"/>
    <s v="India"/>
    <s v="Hyderabad"/>
    <s v="6B"/>
    <n v="19"/>
    <s v="Abhay Mishal"/>
    <s v="Integration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6"/>
    <s v="005KLN"/>
    <s v="005KLN744"/>
    <s v="Lokesh Boodas"/>
    <s v="India"/>
    <s v="Hyderabad"/>
    <s v="7A"/>
    <n v="29.5"/>
    <s v="Abhay Mishal"/>
    <s v="Integration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6"/>
    <s v="0029XO"/>
    <s v="0029XO744"/>
    <s v="Rekha Bansal "/>
    <s v="India"/>
    <s v="Pune"/>
    <s v="7A"/>
    <n v="24.5"/>
    <s v="Abhay Mishal"/>
    <s v="Integration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4277.7"/>
    <n v="4063.8150000000001"/>
    <n v="4919.3549999999996"/>
    <n v="4277.7"/>
    <n v="4063.8150000000001"/>
    <n v="5133.24"/>
    <n v="4277.7"/>
    <n v="5347.125"/>
    <n v="4063.8150000000001"/>
    <n v="3849.93"/>
    <n v="5133.24"/>
    <n v="4063.8150000000001"/>
    <n v="1"/>
  </r>
  <r>
    <s v="Persistent"/>
    <x v="6"/>
    <s v="005ED2"/>
    <s v="005ED2744"/>
    <s v="Saurav Day"/>
    <s v="India"/>
    <s v="Bangalore"/>
    <s v="7A"/>
    <n v="29.5"/>
    <s v="Abhay Mishal"/>
    <s v="Integration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893.165"/>
    <n v="4893.165"/>
    <n v="6180.8399999999992"/>
    <n v="4893.165"/>
    <n v="4893.165"/>
    <n v="6180.8399999999992"/>
    <n v="5150.7"/>
    <n v="6438.375"/>
    <n v="4893.165"/>
    <n v="4635.6299999999992"/>
    <n v="6438.375"/>
    <n v="4893.165"/>
    <n v="1"/>
  </r>
  <r>
    <s v="Persistent"/>
    <x v="6"/>
    <s v="0B7863"/>
    <s v="0B7863649"/>
    <s v="DEVI PRIYA RELANGI"/>
    <s v="CIC Calgary"/>
    <s v="Canada"/>
    <n v="7"/>
    <n v="95.5"/>
    <s v="Abhay Mishal"/>
    <s v="Integration"/>
    <s v="Non GDC Labor"/>
    <x v="1"/>
    <n v="171"/>
    <n v="171"/>
    <n v="216"/>
    <n v="180"/>
    <n v="171"/>
    <n v="225"/>
    <n v="171"/>
    <n v="216"/>
    <n v="171"/>
    <n v="171"/>
    <n v="216"/>
    <n v="171"/>
    <m/>
    <n v="16330.5"/>
    <n v="16330.5"/>
    <n v="20628"/>
    <n v="17190"/>
    <n v="16330.5"/>
    <n v="21487.5"/>
    <n v="16330.5"/>
    <n v="20628"/>
    <n v="16330.5"/>
    <n v="16330.5"/>
    <n v="20628"/>
    <n v="16330.5"/>
    <n v="1"/>
  </r>
  <r>
    <s v="Persistent"/>
    <x v="6"/>
    <s v="0E0298"/>
    <s v="0E0298649"/>
    <s v="Bishnu Kumar"/>
    <s v="CIC Calgary"/>
    <s v="Canada"/>
    <n v="7"/>
    <n v="126.5"/>
    <s v="Abhay Mishal"/>
    <s v="Integration"/>
    <s v="Non GDC Labor"/>
    <x v="1"/>
    <n v="171"/>
    <n v="171"/>
    <n v="216"/>
    <n v="180"/>
    <n v="171"/>
    <n v="225"/>
    <n v="171"/>
    <n v="216"/>
    <n v="171"/>
    <n v="171"/>
    <n v="216"/>
    <n v="171"/>
    <m/>
    <n v="21631.5"/>
    <n v="21631.5"/>
    <n v="27324"/>
    <n v="22770"/>
    <n v="21631.5"/>
    <n v="28462.5"/>
    <n v="21631.5"/>
    <n v="27324"/>
    <n v="21631.5"/>
    <n v="21631.5"/>
    <n v="27324"/>
    <n v="21631.5"/>
    <n v="1"/>
  </r>
  <r>
    <s v="Persistent"/>
    <x v="6"/>
    <s v="CVY5NK"/>
    <s v="CVY5NKCA3"/>
    <s v="Venkateswara Reddy Tanguturi"/>
    <s v="Local"/>
    <s v="Canada"/>
    <n v="7"/>
    <n v="138"/>
    <s v="Abhay Mishal"/>
    <s v="Integration"/>
    <s v="Non GDC Labor"/>
    <x v="1"/>
    <m/>
    <m/>
    <n v="216"/>
    <n v="180"/>
    <n v="171"/>
    <n v="225"/>
    <n v="171"/>
    <n v="216"/>
    <n v="171"/>
    <n v="171"/>
    <n v="216"/>
    <n v="171"/>
    <m/>
    <n v="0"/>
    <n v="0"/>
    <n v="29808"/>
    <n v="24840"/>
    <n v="23598"/>
    <n v="31050"/>
    <n v="23598"/>
    <n v="29808"/>
    <n v="23598"/>
    <n v="23598"/>
    <n v="29808"/>
    <n v="23598"/>
    <n v="1"/>
  </r>
  <r>
    <s v="Persistent"/>
    <x v="6"/>
    <s v="04397P"/>
    <s v="04397P744"/>
    <s v="Priyanka Bhat"/>
    <s v="India"/>
    <s v="Bangalore"/>
    <s v="7B"/>
    <n v="30.5"/>
    <s v="Abhay Mishal"/>
    <s v="Integration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6"/>
    <s v="0032SO"/>
    <s v="0032SO744"/>
    <s v="Sirajuddin Choudhary"/>
    <s v="India"/>
    <s v="Pune"/>
    <s v="7B"/>
    <n v="30.5"/>
    <s v="Abhay Mishal"/>
    <s v="Integration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6"/>
    <s v="0049FY"/>
    <s v="0049FY744"/>
    <s v="Sneha Maddine"/>
    <s v="India"/>
    <s v="Hyderabad"/>
    <s v="7A"/>
    <n v="30"/>
    <s v="Abhay Mishal"/>
    <s v="Integration"/>
    <s v="GDC Labor"/>
    <x v="0"/>
    <n v="90"/>
    <m/>
    <m/>
    <m/>
    <m/>
    <m/>
    <m/>
    <m/>
    <m/>
    <m/>
    <m/>
    <m/>
    <s v="LWD  - Jan 15, 2026"/>
    <n v="2700"/>
    <n v="0"/>
    <n v="0"/>
    <n v="0"/>
    <n v="0"/>
    <n v="0"/>
    <n v="0"/>
    <n v="0"/>
    <n v="0"/>
    <n v="0"/>
    <n v="0"/>
    <n v="0"/>
    <n v="1"/>
  </r>
  <r>
    <s v="Persistent"/>
    <x v="6"/>
    <m/>
    <s v=""/>
    <m/>
    <m/>
    <m/>
    <m/>
    <m/>
    <m/>
    <m/>
    <s v="Non GDC Labor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"/>
  </r>
  <r>
    <s v="Persistent"/>
    <x v="6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9828.29025"/>
    <n v="8845.0177500000009"/>
    <n v="11100.631499999998"/>
    <n v="9207.0945000000011"/>
    <n v="9081.4770000000008"/>
    <n v="11311.442249999998"/>
    <n v="9795.06"/>
    <n v="12243.824999999999"/>
    <n v="9305.3070000000007"/>
    <n v="8815.5539999999983"/>
    <n v="12171.802499999998"/>
    <n v="9305.3070000000007"/>
    <m/>
  </r>
  <r>
    <s v="Persistent"/>
    <x v="6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200"/>
    <n v="2000"/>
    <n v="2000"/>
    <n v="2200"/>
    <n v="2000"/>
    <n v="4000"/>
    <n v="5000"/>
    <n v="4000"/>
    <m/>
  </r>
  <r>
    <s v="Persistent"/>
    <x v="6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1166.3999999999999"/>
    <n v="1166.3999999999999"/>
    <n v="1458"/>
    <n v="1166.3999999999999"/>
    <n v="1166.3999999999999"/>
    <n v="1458"/>
    <n v="1166.3999999999999"/>
    <n v="1458"/>
    <n v="1166.3999999999999"/>
    <n v="1166.3999999999999"/>
    <n v="1458"/>
    <n v="1166.3999999999999"/>
    <m/>
  </r>
  <r>
    <s v="Persistent"/>
    <x v="7"/>
    <s v="001YYX"/>
    <s v="001YYX744"/>
    <s v="Chethan Kelkar"/>
    <s v="Landed"/>
    <s v="Canada"/>
    <n v="7"/>
    <n v="160"/>
    <s v="Abhay Mishal"/>
    <s v="DPS"/>
    <s v="Non GDC Labor"/>
    <x v="1"/>
    <n v="152"/>
    <n v="152"/>
    <n v="192"/>
    <n v="160"/>
    <n v="152"/>
    <n v="200"/>
    <n v="152"/>
    <n v="192"/>
    <n v="152"/>
    <n v="152"/>
    <n v="192"/>
    <n v="152"/>
    <m/>
    <n v="24320"/>
    <n v="24320"/>
    <n v="30720"/>
    <n v="25600"/>
    <n v="24320"/>
    <n v="32000"/>
    <n v="24320"/>
    <n v="30720"/>
    <n v="24320"/>
    <n v="24320"/>
    <n v="30720"/>
    <n v="24320"/>
    <n v="1"/>
  </r>
  <r>
    <s v="Persistent"/>
    <x v="7"/>
    <s v="000XEE"/>
    <s v="000XEE744"/>
    <s v="Anish Nayak"/>
    <s v="India"/>
    <s v="Kolkata"/>
    <s v="6B"/>
    <n v="19"/>
    <s v="Abhay Mishal"/>
    <s v="DP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7"/>
    <s v="005Y1X"/>
    <s v="005Y1X744"/>
    <s v="Vrinda Dafedar"/>
    <s v="India"/>
    <s v="Mysore"/>
    <s v="6B"/>
    <n v="17.5"/>
    <s v="Abhay Mishal"/>
    <s v="DPS"/>
    <s v="GDC Labor"/>
    <x v="0"/>
    <m/>
    <n v="165.87"/>
    <n v="209.51999999999998"/>
    <n v="174.6"/>
    <n v="126"/>
    <n v="200.79"/>
    <n v="174.6"/>
    <n v="218.25"/>
    <n v="165.87"/>
    <n v="157.13999999999999"/>
    <n v="218.25"/>
    <n v="165.87"/>
    <m/>
    <n v="0"/>
    <n v="2902.7249999999999"/>
    <n v="3666.5999999999995"/>
    <n v="3055.5"/>
    <n v="2205"/>
    <n v="3513.8249999999998"/>
    <n v="3055.5"/>
    <n v="3819.375"/>
    <n v="2902.7249999999999"/>
    <n v="2749.95"/>
    <n v="3819.375"/>
    <n v="2902.7249999999999"/>
    <n v="1"/>
  </r>
  <r>
    <s v="Persistent"/>
    <x v="7"/>
    <s v="002AYC"/>
    <s v="002AYC744"/>
    <s v="Subramanya Kamath"/>
    <s v="India"/>
    <s v="Navi Mumbai"/>
    <s v="7B"/>
    <n v="30.5"/>
    <s v="Abhay Mishal"/>
    <s v="DPS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7"/>
    <s v="0A2266"/>
    <s v="0A2266649"/>
    <s v="Ahmed Khan"/>
    <s v="Local"/>
    <s v="Canada"/>
    <n v="8"/>
    <n v="132.5"/>
    <s v="Abhay Mishal"/>
    <s v="DPS"/>
    <s v="Non GDC Labor"/>
    <x v="1"/>
    <n v="152"/>
    <n v="152"/>
    <n v="192"/>
    <n v="160"/>
    <n v="152"/>
    <n v="200"/>
    <n v="152"/>
    <n v="192"/>
    <n v="152"/>
    <n v="152"/>
    <n v="192"/>
    <n v="152"/>
    <m/>
    <n v="20140"/>
    <n v="20140"/>
    <n v="25440"/>
    <n v="21200"/>
    <n v="20140"/>
    <n v="26500"/>
    <n v="20140"/>
    <n v="25440"/>
    <n v="20140"/>
    <n v="20140"/>
    <n v="25440"/>
    <n v="20140"/>
    <n v="0.5"/>
  </r>
  <r>
    <s v="Persistent"/>
    <x v="7"/>
    <s v="003KIV"/>
    <s v="003KIV744"/>
    <s v="Arvind Srivastava"/>
    <s v="India"/>
    <s v="Noida"/>
    <s v="7B"/>
    <n v="30.5"/>
    <s v="Abhay Mishal"/>
    <s v="DPS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7"/>
    <s v="000BP9"/>
    <s v="000BP9744"/>
    <s v="Pallavee Mishra"/>
    <s v="India"/>
    <s v="Bangalore"/>
    <s v="7B"/>
    <n v="37"/>
    <s v="Abhay Mishal"/>
    <s v="DPS"/>
    <s v="GDC Labor"/>
    <x v="0"/>
    <n v="165.87"/>
    <n v="165.87"/>
    <n v="105"/>
    <m/>
    <m/>
    <m/>
    <m/>
    <m/>
    <m/>
    <m/>
    <m/>
    <m/>
    <s v="ML - Mar 15, 2026"/>
    <n v="6137.1900000000005"/>
    <n v="6137.1900000000005"/>
    <n v="3885"/>
    <n v="0"/>
    <n v="0"/>
    <n v="0"/>
    <n v="0"/>
    <n v="0"/>
    <n v="0"/>
    <n v="0"/>
    <n v="0"/>
    <n v="0"/>
    <n v="1"/>
  </r>
  <r>
    <s v="Persistent"/>
    <x v="7"/>
    <s v="0583C7"/>
    <s v="0583C7744"/>
    <s v="Swati Sharma Pankaj"/>
    <s v="India"/>
    <s v="Bangalore"/>
    <s v="7B"/>
    <n v="30.5"/>
    <s v="Abhay Mishal"/>
    <s v="DPS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7"/>
    <s v="003BVY"/>
    <s v="003BVY744"/>
    <s v="Praveen Acharya"/>
    <s v="India"/>
    <s v="Bangalore"/>
    <s v="7B"/>
    <n v="30.5"/>
    <s v="Abhay Mishal"/>
    <s v="DPS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7"/>
    <s v="000PA4"/>
    <s v="000PA4649"/>
    <s v="Suresh Unnam"/>
    <s v="Landed"/>
    <s v="Canada"/>
    <n v="7"/>
    <n v="112"/>
    <s v="Abhay Mishal"/>
    <s v="DPS"/>
    <s v="Non GDC Labor"/>
    <x v="1"/>
    <n v="152"/>
    <n v="152"/>
    <n v="192"/>
    <n v="160"/>
    <n v="152"/>
    <n v="200"/>
    <n v="152"/>
    <n v="192"/>
    <n v="152"/>
    <n v="152"/>
    <n v="192"/>
    <n v="152"/>
    <m/>
    <n v="17024"/>
    <n v="17024"/>
    <n v="21504"/>
    <n v="17920"/>
    <n v="17024"/>
    <n v="22400"/>
    <n v="17024"/>
    <n v="21504"/>
    <n v="17024"/>
    <n v="17024"/>
    <n v="21504"/>
    <n v="17024"/>
    <n v="1"/>
  </r>
  <r>
    <s v="Persistent"/>
    <x v="7"/>
    <m/>
    <s v=""/>
    <m/>
    <m/>
    <m/>
    <m/>
    <m/>
    <m/>
    <m/>
    <s v="Non GDC Labor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"/>
  </r>
  <r>
    <s v="Persistent"/>
    <x v="7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4468.6687499999998"/>
    <n v="4864.1377499999999"/>
    <n v="5524.1482499999993"/>
    <n v="4071.2354999999998"/>
    <n v="3838.9005000000002"/>
    <n v="4893.6014999999998"/>
    <n v="4151.1149999999998"/>
    <n v="5188.8937500000002"/>
    <n v="3943.5592499999998"/>
    <n v="3736.0034999999998"/>
    <n v="5148.9539999999997"/>
    <n v="3943.5592499999998"/>
    <m/>
  </r>
  <r>
    <s v="Persistent"/>
    <x v="7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000"/>
    <n v="2200"/>
    <n v="2000"/>
    <n v="2200"/>
    <n v="2000"/>
    <n v="2000"/>
    <n v="2200"/>
    <n v="2000"/>
    <m/>
  </r>
  <r>
    <s v="Persistent"/>
    <x v="7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518.4"/>
    <n v="518.4"/>
    <n v="810"/>
    <n v="518.4"/>
    <n v="518.4"/>
    <n v="810"/>
    <n v="518.4"/>
    <n v="648"/>
    <n v="648"/>
    <n v="518.4"/>
    <n v="648"/>
    <n v="648"/>
    <m/>
  </r>
  <r>
    <s v="Persistent"/>
    <x v="8"/>
    <s v="004GXM"/>
    <s v="004GXM744"/>
    <s v="Puneet Gambhir"/>
    <s v="Landed"/>
    <s v="Canada"/>
    <n v="7"/>
    <n v="160"/>
    <s v="Prashant Kayangude"/>
    <s v="D365 F&amp;O RBO MVT"/>
    <s v="Non GDC Labor"/>
    <x v="1"/>
    <n v="152"/>
    <n v="152"/>
    <n v="192"/>
    <n v="160"/>
    <n v="40"/>
    <n v="200"/>
    <n v="152"/>
    <n v="192"/>
    <n v="152"/>
    <n v="152"/>
    <n v="192"/>
    <n v="152"/>
    <m/>
    <n v="24320"/>
    <n v="24320"/>
    <n v="30720"/>
    <n v="25600"/>
    <n v="6400"/>
    <n v="32000"/>
    <n v="24320"/>
    <n v="30720"/>
    <n v="24320"/>
    <n v="24320"/>
    <n v="30720"/>
    <n v="24320"/>
    <n v="1"/>
  </r>
  <r>
    <s v="Persistent"/>
    <x v="8"/>
    <s v="005WX7"/>
    <s v="005WX7744"/>
    <s v="Yogeshwar Sharma"/>
    <s v="India"/>
    <s v="Mumbai"/>
    <s v="6B"/>
    <n v="19"/>
    <s v="Prashant Kayangude"/>
    <s v="D365 F&amp;O RBO MVT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3317.4"/>
    <n v="3151.53"/>
    <n v="3815.0099999999998"/>
    <n v="3317.4"/>
    <n v="3151.53"/>
    <n v="3980.8799999999997"/>
    <n v="3317.4"/>
    <n v="4146.75"/>
    <n v="3151.53"/>
    <n v="2985.66"/>
    <n v="3980.8799999999997"/>
    <n v="3151.53"/>
    <n v="1"/>
  </r>
  <r>
    <s v="Persistent"/>
    <x v="8"/>
    <s v="005DC1"/>
    <s v="005DC1744"/>
    <s v="Vishakha Jadhav"/>
    <s v="India"/>
    <s v="Pune"/>
    <s v="7A"/>
    <n v="29.5"/>
    <s v="Prashant Kayangude"/>
    <s v="D365 F&amp;O RBO MVT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150.7"/>
    <n v="4893.165"/>
    <n v="5923.3049999999994"/>
    <n v="5150.7"/>
    <n v="4893.165"/>
    <n v="6180.8399999999992"/>
    <n v="5150.7"/>
    <n v="6438.375"/>
    <n v="4893.165"/>
    <n v="4635.6299999999992"/>
    <n v="6180.8399999999992"/>
    <n v="4893.165"/>
    <n v="1"/>
  </r>
  <r>
    <s v="Persistent"/>
    <x v="8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1270.2149999999999"/>
    <n v="1206.70425"/>
    <n v="1460.7472499999997"/>
    <n v="1270.2149999999999"/>
    <n v="1206.70425"/>
    <n v="1524.2579999999998"/>
    <n v="1270.2149999999999"/>
    <n v="1587.76875"/>
    <n v="1206.70425"/>
    <n v="1143.1934999999999"/>
    <n v="1524.2579999999998"/>
    <n v="1206.70425"/>
    <m/>
  </r>
  <r>
    <s v="Persistent"/>
    <x v="8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8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9"/>
    <s v="003MJE"/>
    <s v="003MJE744"/>
    <s v="Sankar S"/>
    <s v="India"/>
    <s v="Chennai"/>
    <s v="7B"/>
    <n v="30.5"/>
    <s v="Prashant Kayangude"/>
    <s v="D365 F&amp;O WBO MVT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9"/>
    <s v="004GKU"/>
    <s v="004GKU744"/>
    <s v="Neeraj Kumar"/>
    <s v="India"/>
    <s v="Noida"/>
    <s v="7A"/>
    <n v="29.5"/>
    <s v="Prashant Kayangude"/>
    <s v="D365 F&amp;O WBO MVT"/>
    <s v="GDC Labor"/>
    <x v="0"/>
    <n v="165.87"/>
    <n v="165.87"/>
    <n v="209.51999999999998"/>
    <n v="174.6"/>
    <n v="165.87"/>
    <n v="90"/>
    <n v="174.6"/>
    <n v="218.25"/>
    <n v="165.87"/>
    <n v="157.13999999999999"/>
    <n v="218.25"/>
    <n v="165.87"/>
    <s v="LWD 8th Jun2026"/>
    <n v="4893.165"/>
    <n v="4893.165"/>
    <n v="6180.8399999999992"/>
    <n v="5150.7"/>
    <n v="4893.165"/>
    <n v="2655"/>
    <n v="5150.7"/>
    <n v="6438.375"/>
    <n v="4893.165"/>
    <n v="4635.6299999999992"/>
    <n v="6438.375"/>
    <n v="4893.165"/>
    <n v="0"/>
  </r>
  <r>
    <s v="Persistent"/>
    <x v="9"/>
    <s v="005GGP"/>
    <s v="005GGP744"/>
    <s v="Amey Sawant"/>
    <s v="India"/>
    <s v="Mumbai"/>
    <s v="7B"/>
    <n v="30.5"/>
    <s v="Prashant Kayangude"/>
    <s v="D365 F&amp;O WBO MVT"/>
    <s v="GDC Labor"/>
    <x v="0"/>
    <m/>
    <m/>
    <m/>
    <m/>
    <n v="45"/>
    <n v="210"/>
    <n v="174.6"/>
    <n v="218.25"/>
    <n v="165.87"/>
    <n v="157.13999999999999"/>
    <n v="209.51999999999998"/>
    <n v="165.87"/>
    <s v="Neeraj Kumar Backfill"/>
    <n v="0"/>
    <n v="0"/>
    <n v="0"/>
    <n v="0"/>
    <n v="1372.5"/>
    <n v="6405"/>
    <n v="5325.3"/>
    <n v="6656.625"/>
    <n v="5059.0349999999999"/>
    <n v="4792.7699999999995"/>
    <n v="6390.36"/>
    <n v="5059.0349999999999"/>
    <n v="1"/>
  </r>
  <r>
    <s v="Persistent"/>
    <x v="9"/>
    <s v="CVX9EX"/>
    <s v="CVX9EXCA3"/>
    <s v="Michael Cheng"/>
    <s v="Local"/>
    <s v="Calgary"/>
    <n v="8"/>
    <n v="134"/>
    <s v="Prashant Kayangude"/>
    <s v="D365 F&amp;O RBO MVT"/>
    <s v="Non GDC Labor"/>
    <x v="5"/>
    <n v="152"/>
    <n v="152"/>
    <n v="192"/>
    <n v="160"/>
    <n v="152"/>
    <n v="200"/>
    <n v="152"/>
    <n v="192"/>
    <n v="152"/>
    <n v="152"/>
    <n v="192"/>
    <n v="152"/>
    <m/>
    <n v="20368"/>
    <n v="20368"/>
    <n v="25728"/>
    <n v="21440"/>
    <n v="20368"/>
    <n v="26800"/>
    <n v="20368"/>
    <n v="25728"/>
    <n v="20368"/>
    <n v="20368"/>
    <n v="25728"/>
    <n v="20368"/>
    <n v="1"/>
  </r>
  <r>
    <s v="Persistent"/>
    <x v="9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1492.8300000000002"/>
    <n v="1492.8300000000002"/>
    <n v="1885.6799999999998"/>
    <n v="1571.3999999999999"/>
    <n v="1698.7050000000002"/>
    <n v="2277.6142499999996"/>
    <n v="2370.1949999999997"/>
    <n v="2962.7437500000001"/>
    <n v="2251.68525"/>
    <n v="2133.1754999999998"/>
    <n v="2922.8040000000001"/>
    <n v="2251.68525"/>
    <m/>
  </r>
  <r>
    <s v="Persistent"/>
    <x v="9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9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10"/>
    <s v="005C0I"/>
    <s v="005C0I744"/>
    <s v="Balaji Ramadoss"/>
    <s v="India"/>
    <s v="Bangalore"/>
    <s v="7B"/>
    <n v="30.5"/>
    <s v="Prashant Kayangude"/>
    <s v="Mobila Persistent Team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10"/>
    <s v="0023S3"/>
    <s v="0023S3744"/>
    <s v="Vanisree Gadila"/>
    <s v="India"/>
    <s v="Bangalore"/>
    <s v="7A"/>
    <n v="24.5"/>
    <s v="Prashant Kayangude"/>
    <s v="Mobila Persistent Team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4063.8150000000001"/>
    <n v="4063.8150000000001"/>
    <n v="5133.24"/>
    <n v="4063.8150000000001"/>
    <n v="4063.8150000000001"/>
    <n v="5133.24"/>
    <n v="4277.7"/>
    <n v="5347.125"/>
    <n v="4063.8150000000001"/>
    <n v="3849.93"/>
    <n v="5347.125"/>
    <n v="4063.8150000000001"/>
    <n v="1"/>
  </r>
  <r>
    <s v="Persistent"/>
    <x v="10"/>
    <s v="0F1390"/>
    <s v="0F1390649"/>
    <s v="Karan Aggarwal"/>
    <s v="Local"/>
    <s v="Canada"/>
    <n v="6"/>
    <n v="136"/>
    <s v="Prashant Kayangude"/>
    <s v="Mobila Persistent Team"/>
    <s v="Non GDC Labor"/>
    <x v="1"/>
    <n v="152"/>
    <n v="152"/>
    <n v="192"/>
    <n v="160"/>
    <n v="152"/>
    <n v="200"/>
    <n v="152"/>
    <n v="192"/>
    <n v="152"/>
    <n v="152"/>
    <n v="192"/>
    <n v="152"/>
    <m/>
    <n v="20672"/>
    <n v="20672"/>
    <n v="26112"/>
    <n v="21760"/>
    <n v="20672"/>
    <n v="27200"/>
    <n v="20672"/>
    <n v="26112"/>
    <n v="20672"/>
    <n v="20672"/>
    <n v="26112"/>
    <n v="20672"/>
    <n v="1"/>
  </r>
  <r>
    <s v="Persistent"/>
    <x v="10"/>
    <s v="CVXGJB"/>
    <s v="CVXGJBCA3"/>
    <s v="Vijay Kanagaratnam"/>
    <s v="Local"/>
    <s v="Canada"/>
    <n v="8"/>
    <n v="106"/>
    <s v="Prashant Kayangude"/>
    <s v="Mobila Persistent Team"/>
    <s v="Non GDC Labor"/>
    <x v="5"/>
    <n v="152"/>
    <n v="152"/>
    <n v="192"/>
    <n v="160"/>
    <n v="152"/>
    <n v="200"/>
    <n v="152"/>
    <n v="192"/>
    <n v="152"/>
    <n v="152"/>
    <n v="192"/>
    <n v="152"/>
    <m/>
    <n v="16112"/>
    <n v="16112"/>
    <n v="20352"/>
    <n v="16960"/>
    <n v="16112"/>
    <n v="21200"/>
    <n v="16112"/>
    <n v="20352"/>
    <n v="16112"/>
    <n v="16112"/>
    <n v="20352"/>
    <n v="16112"/>
    <n v="1"/>
  </r>
  <r>
    <s v="Persistent"/>
    <x v="10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1368.4275"/>
    <n v="1368.4275"/>
    <n v="1728.5399999999997"/>
    <n v="1368.4275"/>
    <n v="1368.4275"/>
    <n v="1728.5399999999997"/>
    <n v="1440.45"/>
    <n v="1800.5625"/>
    <n v="1368.4275"/>
    <n v="1296.4049999999997"/>
    <n v="1800.5625"/>
    <n v="1368.4275"/>
    <m/>
  </r>
  <r>
    <s v="Persistent"/>
    <x v="10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10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11"/>
    <s v="04349Q"/>
    <s v="04349Q744"/>
    <s v="Panchanan Saha"/>
    <s v="India"/>
    <s v="Bangalore"/>
    <s v="7B"/>
    <n v="30.5"/>
    <s v="Prashant Kayangude"/>
    <s v="AWS MVT Team ( S&amp;M)"/>
    <s v="GDC Labor"/>
    <x v="0"/>
    <n v="82.935000000000002"/>
    <n v="82.935000000000002"/>
    <n v="104.75999999999999"/>
    <n v="82.935000000000002"/>
    <n v="82.935000000000002"/>
    <n v="104.75999999999999"/>
    <n v="87.3"/>
    <n v="109.125"/>
    <n v="82.935000000000002"/>
    <n v="78.569999999999993"/>
    <n v="109.125"/>
    <n v="82.935000000000002"/>
    <m/>
    <n v="2529.5174999999999"/>
    <n v="2529.5174999999999"/>
    <n v="3195.18"/>
    <n v="2529.5174999999999"/>
    <n v="2529.5174999999999"/>
    <n v="3195.18"/>
    <n v="2662.65"/>
    <n v="3328.3125"/>
    <n v="2529.5174999999999"/>
    <n v="2396.3849999999998"/>
    <n v="3328.3125"/>
    <n v="2529.5174999999999"/>
    <n v="0.5"/>
  </r>
  <r>
    <s v="Persistent"/>
    <x v="11"/>
    <s v="005IHU"/>
    <s v="005IHU744"/>
    <s v="Meghna Datta"/>
    <s v="India"/>
    <s v="Kolkata"/>
    <s v="7B"/>
    <n v="30.5"/>
    <s v="Prashant Kayangude"/>
    <s v="AWS MVT Team ( S&amp;M)"/>
    <s v="GDC Labor"/>
    <x v="0"/>
    <n v="82.935000000000002"/>
    <n v="82.935000000000002"/>
    <n v="104.75999999999999"/>
    <n v="82.935000000000002"/>
    <n v="82.935000000000002"/>
    <n v="104.75999999999999"/>
    <n v="87.3"/>
    <n v="109.125"/>
    <n v="82.935000000000002"/>
    <n v="78.569999999999993"/>
    <n v="109.125"/>
    <n v="82.935000000000002"/>
    <m/>
    <n v="2529.5174999999999"/>
    <n v="2529.5174999999999"/>
    <n v="3195.18"/>
    <n v="2529.5174999999999"/>
    <n v="2529.5174999999999"/>
    <n v="3195.18"/>
    <n v="2662.65"/>
    <n v="3328.3125"/>
    <n v="2529.5174999999999"/>
    <n v="2396.3849999999998"/>
    <n v="3328.3125"/>
    <n v="2529.5174999999999"/>
    <n v="0.5"/>
  </r>
  <r>
    <s v="Persistent"/>
    <x v="11"/>
    <s v="CVX4P8"/>
    <s v="CVX4P8CA3"/>
    <s v="Bin Yu ( Robbi)"/>
    <s v="Local"/>
    <s v="Toronto"/>
    <n v="8"/>
    <n v="126"/>
    <s v="Prashant Kayangude"/>
    <s v="AWS MVT Team ( S&amp;M)"/>
    <s v="Non GDC Labor"/>
    <x v="5"/>
    <n v="76"/>
    <n v="76"/>
    <n v="96"/>
    <n v="80"/>
    <n v="76"/>
    <n v="100"/>
    <n v="76"/>
    <n v="96"/>
    <n v="76"/>
    <n v="76"/>
    <n v="96"/>
    <n v="76"/>
    <m/>
    <n v="9576"/>
    <n v="9576"/>
    <n v="12096"/>
    <n v="10080"/>
    <n v="9576"/>
    <n v="12600"/>
    <n v="9576"/>
    <n v="12096"/>
    <n v="9576"/>
    <n v="9576"/>
    <n v="12096"/>
    <n v="9576"/>
    <n v="0.5"/>
  </r>
  <r>
    <s v="Persistent"/>
    <x v="11"/>
    <s v="0B5293"/>
    <s v="0B5293649"/>
    <s v="Anis Malik"/>
    <s v="Local"/>
    <s v="Toronto"/>
    <n v="8"/>
    <n v="185.5"/>
    <s v="Prashant Kayangude"/>
    <s v="AWS MVT Team ( S&amp;M)"/>
    <s v="Non GDC Labor"/>
    <x v="1"/>
    <n v="76"/>
    <n v="76"/>
    <n v="96"/>
    <n v="80"/>
    <n v="76"/>
    <n v="100"/>
    <n v="76"/>
    <n v="96"/>
    <n v="76"/>
    <n v="76"/>
    <n v="96"/>
    <n v="76"/>
    <m/>
    <n v="14098"/>
    <n v="14098"/>
    <n v="17808"/>
    <n v="14840"/>
    <n v="14098"/>
    <n v="18550"/>
    <n v="14098"/>
    <n v="17808"/>
    <n v="14098"/>
    <n v="14098"/>
    <n v="17808"/>
    <n v="14098"/>
    <n v="0.5"/>
  </r>
  <r>
    <s v="Persistent"/>
    <x v="11"/>
    <s v="0B6902"/>
    <s v="0B6902649"/>
    <s v="Lionel Tchami Nfada"/>
    <s v="Local"/>
    <s v="Calgary"/>
    <n v="8"/>
    <n v="132.5"/>
    <s v="Prashant Kayangude"/>
    <s v="AWS MVT Team ( S&amp;M)"/>
    <s v="Non GDC Labor"/>
    <x v="1"/>
    <n v="76"/>
    <n v="76"/>
    <n v="96"/>
    <n v="80"/>
    <n v="76"/>
    <n v="100"/>
    <n v="76"/>
    <n v="96"/>
    <n v="76"/>
    <n v="76"/>
    <n v="96"/>
    <n v="76"/>
    <m/>
    <n v="10070"/>
    <n v="10070"/>
    <n v="12720"/>
    <n v="10600"/>
    <n v="10070"/>
    <n v="13250"/>
    <n v="10070"/>
    <n v="12720"/>
    <n v="10070"/>
    <n v="10070"/>
    <n v="12720"/>
    <n v="10070"/>
    <n v="0.5"/>
  </r>
  <r>
    <s v="Persistent"/>
    <x v="11"/>
    <s v="Broker Uplift"/>
    <s v="Broker Uplift"/>
    <s v="Broker Uplift"/>
    <s v="Broker Uplift"/>
    <s v="Broker Uplift"/>
    <m/>
    <m/>
    <s v="Broker Uplift"/>
    <s v="Broker Uplift"/>
    <s v="Broker Uplift"/>
    <x v="2"/>
    <n v="76"/>
    <n v="76"/>
    <n v="96"/>
    <n v="80"/>
    <n v="76"/>
    <n v="100"/>
    <n v="76"/>
    <n v="96"/>
    <n v="76"/>
    <n v="76"/>
    <n v="96"/>
    <n v="76"/>
    <m/>
    <n v="758.85524999999996"/>
    <n v="758.85524999999996"/>
    <n v="958.55399999999986"/>
    <n v="758.85524999999996"/>
    <n v="758.85524999999996"/>
    <n v="958.55399999999986"/>
    <n v="798.79499999999996"/>
    <n v="998.49374999999998"/>
    <n v="758.85524999999996"/>
    <n v="718.91549999999995"/>
    <n v="998.49374999999998"/>
    <n v="758.85524999999996"/>
    <m/>
  </r>
  <r>
    <s v="Persistent"/>
    <x v="11"/>
    <s v="Expenses"/>
    <s v="Expenses"/>
    <s v="Expenses"/>
    <s v="Expenses"/>
    <s v="Expenses"/>
    <m/>
    <m/>
    <s v="Expenses"/>
    <s v="Expenses"/>
    <s v="Expenses"/>
    <x v="3"/>
    <n v="76"/>
    <n v="76"/>
    <n v="96"/>
    <n v="80"/>
    <n v="76"/>
    <n v="100"/>
    <n v="76"/>
    <n v="96"/>
    <n v="76"/>
    <n v="76"/>
    <n v="96"/>
    <n v="76"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11"/>
    <s v="Standby"/>
    <s v="Standby"/>
    <s v="Standby"/>
    <s v="Standby"/>
    <s v="Standby"/>
    <m/>
    <m/>
    <s v="Standby"/>
    <s v="Standby"/>
    <s v="Standby"/>
    <x v="4"/>
    <n v="76"/>
    <n v="76"/>
    <n v="96"/>
    <n v="80"/>
    <n v="76"/>
    <n v="100"/>
    <n v="76"/>
    <n v="96"/>
    <n v="76"/>
    <n v="76"/>
    <n v="96"/>
    <n v="76"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12"/>
    <s v="04349Q"/>
    <s v="04349Q744"/>
    <s v="Panchanan Saha"/>
    <s v="India"/>
    <s v="Bangalore"/>
    <s v="7B"/>
    <n v="30.5"/>
    <s v="Prashant Kayangude"/>
    <s v="AWS MVT Team ( S&amp;M)"/>
    <s v="GDC Labor"/>
    <x v="0"/>
    <n v="82.935000000000002"/>
    <n v="82.935000000000002"/>
    <n v="104.75999999999999"/>
    <n v="82.935000000000002"/>
    <n v="82.935000000000002"/>
    <n v="104.75999999999999"/>
    <n v="87.3"/>
    <n v="109.125"/>
    <n v="82.935000000000002"/>
    <n v="78.569999999999993"/>
    <n v="109.125"/>
    <n v="82.935000000000002"/>
    <m/>
    <n v="2529.5174999999999"/>
    <n v="2529.5174999999999"/>
    <n v="3195.18"/>
    <n v="2529.5174999999999"/>
    <n v="2529.5174999999999"/>
    <n v="3195.18"/>
    <n v="2662.65"/>
    <n v="3328.3125"/>
    <n v="2529.5174999999999"/>
    <n v="2396.3849999999998"/>
    <n v="3328.3125"/>
    <n v="2529.5174999999999"/>
    <n v="0.5"/>
  </r>
  <r>
    <s v="Persistent"/>
    <x v="12"/>
    <s v="005IHU"/>
    <s v="005IHU744"/>
    <s v="Meghna Datta"/>
    <s v="India"/>
    <s v="Kolkata"/>
    <s v="7B"/>
    <n v="30.5"/>
    <s v="Prashant Kayangude"/>
    <s v="AWS MVT Team ( S&amp;M)"/>
    <s v="GDC Labor"/>
    <x v="0"/>
    <n v="82.935000000000002"/>
    <n v="82.935000000000002"/>
    <n v="104.75999999999999"/>
    <n v="82.935000000000002"/>
    <n v="82.935000000000002"/>
    <n v="104.75999999999999"/>
    <n v="87.3"/>
    <n v="109.125"/>
    <n v="82.935000000000002"/>
    <n v="78.569999999999993"/>
    <n v="109.125"/>
    <n v="82.935000000000002"/>
    <m/>
    <n v="2529.5174999999999"/>
    <n v="2529.5174999999999"/>
    <n v="3195.18"/>
    <n v="2529.5174999999999"/>
    <n v="2529.5174999999999"/>
    <n v="3195.18"/>
    <n v="2662.65"/>
    <n v="3328.3125"/>
    <n v="2529.5174999999999"/>
    <n v="2396.3849999999998"/>
    <n v="3328.3125"/>
    <n v="2529.5174999999999"/>
    <n v="0.5"/>
  </r>
  <r>
    <s v="Persistent"/>
    <x v="12"/>
    <s v="CVX4P8"/>
    <s v="CVX4P8CA3"/>
    <s v="Bin Yu ( Robbi)"/>
    <s v="Local"/>
    <s v="Toronto"/>
    <n v="8"/>
    <n v="126"/>
    <s v="Prashant Kayangude"/>
    <s v="AWS MVT Team ( S&amp;M)"/>
    <s v="Non GDC Labor"/>
    <x v="5"/>
    <n v="76"/>
    <n v="76"/>
    <n v="96"/>
    <n v="80"/>
    <n v="76"/>
    <n v="100"/>
    <n v="76"/>
    <n v="96"/>
    <n v="76"/>
    <n v="76"/>
    <n v="96"/>
    <n v="76"/>
    <m/>
    <n v="9576"/>
    <n v="9576"/>
    <n v="12096"/>
    <n v="10080"/>
    <n v="9576"/>
    <n v="12600"/>
    <n v="9576"/>
    <n v="12096"/>
    <n v="9576"/>
    <n v="9576"/>
    <n v="12096"/>
    <n v="9576"/>
    <n v="0.5"/>
  </r>
  <r>
    <s v="Persistent"/>
    <x v="12"/>
    <s v="0B5293"/>
    <s v="0B5293649"/>
    <s v="Anis Malik"/>
    <s v="Local"/>
    <s v="Toronto"/>
    <n v="8"/>
    <n v="185.5"/>
    <s v="Prashant Kayangude"/>
    <s v="AWS MVT Team ( S&amp;M)"/>
    <s v="Non GDC Labor"/>
    <x v="1"/>
    <n v="76"/>
    <n v="76"/>
    <n v="96"/>
    <n v="80"/>
    <n v="76"/>
    <n v="100"/>
    <n v="76"/>
    <n v="96"/>
    <n v="76"/>
    <n v="76"/>
    <n v="96"/>
    <n v="76"/>
    <m/>
    <n v="14098"/>
    <n v="14098"/>
    <n v="17808"/>
    <n v="14840"/>
    <n v="14098"/>
    <n v="18550"/>
    <n v="14098"/>
    <n v="17808"/>
    <n v="14098"/>
    <n v="14098"/>
    <n v="17808"/>
    <n v="14098"/>
    <n v="0.5"/>
  </r>
  <r>
    <s v="Persistent"/>
    <x v="12"/>
    <s v="0B6902"/>
    <s v="0B6902649"/>
    <s v="Lionel Tchami Nfada"/>
    <s v="Local"/>
    <s v="Calgary"/>
    <n v="8"/>
    <n v="132.5"/>
    <s v="Prashant Kayangude"/>
    <s v="AWS MVT Team ( S&amp;M)"/>
    <s v="Non GDC Labor"/>
    <x v="1"/>
    <n v="76"/>
    <n v="76"/>
    <n v="96"/>
    <n v="80"/>
    <n v="76"/>
    <n v="100"/>
    <n v="76"/>
    <n v="96"/>
    <n v="76"/>
    <n v="76"/>
    <n v="96"/>
    <n v="76"/>
    <m/>
    <n v="10070"/>
    <n v="10070"/>
    <n v="12720"/>
    <n v="10600"/>
    <n v="10070"/>
    <n v="13250"/>
    <n v="10070"/>
    <n v="12720"/>
    <n v="10070"/>
    <n v="10070"/>
    <n v="12720"/>
    <n v="10070"/>
    <n v="0.5"/>
  </r>
  <r>
    <s v="Persistent"/>
    <x v="12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758.85524999999996"/>
    <n v="758.85524999999996"/>
    <n v="958.55399999999986"/>
    <n v="758.85524999999996"/>
    <n v="758.85524999999996"/>
    <n v="958.55399999999986"/>
    <n v="798.79499999999996"/>
    <n v="998.49374999999998"/>
    <n v="758.85524999999996"/>
    <n v="718.91549999999995"/>
    <n v="998.49374999999998"/>
    <n v="758.85524999999996"/>
    <m/>
  </r>
  <r>
    <s v="Persistent"/>
    <x v="12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1000"/>
    <n v="1000"/>
    <n v="1200"/>
    <n v="1000"/>
    <n v="1000"/>
    <n v="1200"/>
    <n v="1000"/>
    <n v="1200"/>
    <n v="1000"/>
    <n v="1000"/>
    <n v="1200"/>
    <n v="1000"/>
    <m/>
  </r>
  <r>
    <s v="Persistent"/>
    <x v="12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13"/>
    <s v="CVXU1U"/>
    <s v="CVXU1UCA3"/>
    <s v="VERZNEV CATUBIG"/>
    <s v="Local"/>
    <s v="Calgary"/>
    <n v="8"/>
    <n v="105.5"/>
    <s v="Prashant Kayangude"/>
    <s v="AWS Persistent Team"/>
    <s v="Non GDC Labor"/>
    <x v="5"/>
    <n v="152"/>
    <n v="152"/>
    <n v="192"/>
    <n v="160"/>
    <n v="152"/>
    <n v="200"/>
    <n v="152"/>
    <n v="192"/>
    <n v="152"/>
    <n v="152"/>
    <n v="192"/>
    <n v="152"/>
    <m/>
    <n v="16036"/>
    <n v="16036"/>
    <n v="20256"/>
    <n v="16880"/>
    <n v="16036"/>
    <n v="21100"/>
    <n v="16036"/>
    <n v="20256"/>
    <n v="16036"/>
    <n v="16036"/>
    <n v="20256"/>
    <n v="16036"/>
    <n v="1"/>
  </r>
  <r>
    <s v="Persistent"/>
    <x v="13"/>
    <s v="0685C9"/>
    <s v="0685C9744"/>
    <s v="Abhishek Neogi"/>
    <s v="India"/>
    <s v="Gurgaon"/>
    <s v="7A"/>
    <n v="29.5"/>
    <s v="Prashant Kayangude"/>
    <s v="AWS MVT Team ( S&amp;M)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13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733.97474999999997"/>
    <n v="733.97474999999997"/>
    <n v="927.12599999999986"/>
    <n v="772.6049999999999"/>
    <n v="733.97474999999997"/>
    <n v="888.49574999999993"/>
    <n v="772.6049999999999"/>
    <n v="965.75624999999991"/>
    <n v="733.97474999999997"/>
    <n v="695.34449999999981"/>
    <n v="965.75624999999991"/>
    <n v="733.97474999999997"/>
    <m/>
  </r>
  <r>
    <s v="Persistent"/>
    <x v="13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500"/>
    <n v="500"/>
    <n v="600"/>
    <n v="500"/>
    <n v="500"/>
    <n v="600"/>
    <n v="500"/>
    <n v="600"/>
    <n v="500"/>
    <n v="500"/>
    <n v="600"/>
    <n v="500"/>
    <m/>
  </r>
  <r>
    <s v="Persistent"/>
    <x v="13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Persistent"/>
    <x v="14"/>
    <s v="0344B8"/>
    <s v="0344B8744"/>
    <s v="Mohd Saifi Khan"/>
    <s v="Landed"/>
    <s v="Canada"/>
    <n v="7"/>
    <n v="88.5"/>
    <s v="Abhay Mishal"/>
    <s v="ServiceNow"/>
    <s v="Non GDC Labor"/>
    <x v="1"/>
    <n v="152"/>
    <n v="152"/>
    <n v="192"/>
    <n v="160"/>
    <n v="152"/>
    <n v="200"/>
    <n v="152"/>
    <n v="192"/>
    <n v="152"/>
    <n v="152"/>
    <n v="192"/>
    <n v="152"/>
    <m/>
    <n v="13452"/>
    <n v="13452"/>
    <n v="16992"/>
    <n v="14160"/>
    <n v="13452"/>
    <n v="17700"/>
    <n v="13452"/>
    <n v="16992"/>
    <n v="13452"/>
    <n v="13452"/>
    <n v="16992"/>
    <n v="13452"/>
    <n v="1"/>
  </r>
  <r>
    <s v="Persistent"/>
    <x v="14"/>
    <s v="002KQV"/>
    <s v="002KQV744"/>
    <s v="Challa Pavan Kumar"/>
    <s v="India"/>
    <s v="Hyderabad"/>
    <s v="6B"/>
    <n v="19"/>
    <s v="Abhay Mishal"/>
    <s v="ServiceNow"/>
    <s v="GDC Labor"/>
    <x v="0"/>
    <n v="165.87"/>
    <n v="165.87"/>
    <n v="209.51999999999998"/>
    <m/>
    <m/>
    <m/>
    <m/>
    <m/>
    <m/>
    <m/>
    <m/>
    <m/>
    <m/>
    <n v="3151.53"/>
    <n v="3151.53"/>
    <n v="3980.8799999999997"/>
    <n v="0"/>
    <n v="0"/>
    <n v="0"/>
    <n v="0"/>
    <n v="0"/>
    <n v="0"/>
    <n v="0"/>
    <n v="0"/>
    <n v="0"/>
    <n v="1"/>
  </r>
  <r>
    <s v="Persistent"/>
    <x v="14"/>
    <s v="005WN0"/>
    <s v="005WN0744"/>
    <s v="Sreelekha Devaraju "/>
    <s v="India"/>
    <s v="Hyderabad"/>
    <s v="7A"/>
    <n v="29.5"/>
    <s v="Abhay Mishal"/>
    <s v="ServiceNow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14"/>
    <s v="0062D3"/>
    <s v="0062D3744"/>
    <s v="Pooja Dodla"/>
    <s v="India"/>
    <s v="Hyderabad"/>
    <s v="7A"/>
    <n v="29.5"/>
    <s v="Abhay Mishal"/>
    <s v="ServiceNow"/>
    <s v="GDC Labor"/>
    <x v="0"/>
    <m/>
    <m/>
    <m/>
    <m/>
    <n v="165.87"/>
    <m/>
    <m/>
    <m/>
    <m/>
    <m/>
    <m/>
    <m/>
    <s v="LWD - Jul 28,2026"/>
    <n v="0"/>
    <n v="0"/>
    <n v="0"/>
    <n v="0"/>
    <n v="4893.165"/>
    <n v="0"/>
    <n v="0"/>
    <n v="0"/>
    <n v="0"/>
    <n v="0"/>
    <n v="0"/>
    <n v="0"/>
    <n v="1"/>
  </r>
  <r>
    <s v="Persistent"/>
    <x v="14"/>
    <s v="005W3T"/>
    <s v="005W3T744"/>
    <s v="Bandhaiahgari Pampapath"/>
    <s v="India"/>
    <s v="Bangalore"/>
    <s v="7A"/>
    <n v="29.5"/>
    <s v="Abhay Mishal"/>
    <s v="ServiceNow"/>
    <s v="GDC Labor"/>
    <x v="0"/>
    <m/>
    <m/>
    <m/>
    <n v="174.6"/>
    <n v="165.87"/>
    <n v="150"/>
    <m/>
    <m/>
    <m/>
    <m/>
    <m/>
    <m/>
    <s v="LWD - Jun 19,2026"/>
    <n v="0"/>
    <n v="0"/>
    <n v="0"/>
    <n v="5150.7"/>
    <n v="4893.165"/>
    <n v="4425"/>
    <n v="0"/>
    <n v="0"/>
    <n v="0"/>
    <n v="0"/>
    <n v="0"/>
    <n v="0"/>
    <n v="1"/>
  </r>
  <r>
    <s v="Persistent"/>
    <x v="14"/>
    <s v="07157Q"/>
    <s v="07157Q744"/>
    <s v="Tejaswani Pendoti"/>
    <s v="India"/>
    <s v="Hyderabad"/>
    <s v="7A"/>
    <n v="29.5"/>
    <s v="Abhay Mishal"/>
    <s v="ServiceNow"/>
    <s v="GDC Labor"/>
    <x v="0"/>
    <m/>
    <m/>
    <m/>
    <m/>
    <m/>
    <n v="150"/>
    <n v="174.6"/>
    <n v="218.25"/>
    <n v="165.87"/>
    <n v="157.13999999999999"/>
    <n v="218.25"/>
    <n v="165.87"/>
    <m/>
    <n v="0"/>
    <n v="0"/>
    <n v="0"/>
    <n v="0"/>
    <n v="0"/>
    <n v="4425"/>
    <n v="5150.7"/>
    <n v="6438.375"/>
    <n v="4893.165"/>
    <n v="4635.6299999999992"/>
    <n v="6438.375"/>
    <n v="4893.165"/>
    <n v="1"/>
  </r>
  <r>
    <s v="Persistent"/>
    <x v="14"/>
    <s v="005OH8"/>
    <s v="005OH8744"/>
    <s v="Md Amir"/>
    <s v="India"/>
    <s v="Noida"/>
    <s v="6B"/>
    <n v="19"/>
    <s v="Abhay Mishal"/>
    <s v="ServiceNow"/>
    <s v="GDC Labor"/>
    <x v="0"/>
    <m/>
    <m/>
    <m/>
    <n v="174.6"/>
    <n v="165.87"/>
    <n v="200.79"/>
    <n v="174.6"/>
    <n v="218.25"/>
    <n v="165.87"/>
    <n v="157.13999999999999"/>
    <n v="218.25"/>
    <n v="165.87"/>
    <m/>
    <n v="0"/>
    <n v="0"/>
    <n v="0"/>
    <n v="3317.4"/>
    <n v="3151.53"/>
    <n v="3815.0099999999998"/>
    <n v="3317.4"/>
    <n v="4146.75"/>
    <n v="3151.53"/>
    <n v="2985.66"/>
    <n v="4146.75"/>
    <n v="3151.53"/>
    <n v="1"/>
  </r>
  <r>
    <s v="Persistent"/>
    <x v="14"/>
    <s v="0057DQ"/>
    <s v="0057DQ744"/>
    <s v="Satish Kumar Gvns"/>
    <s v="India"/>
    <s v="Hyderabad"/>
    <s v="7B"/>
    <n v="41"/>
    <s v="Abhay Mishal"/>
    <s v="ServiceNow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6800.67"/>
    <n v="6800.67"/>
    <n v="8590.32"/>
    <n v="7158.5999999999995"/>
    <n v="6800.67"/>
    <n v="8232.39"/>
    <n v="7158.5999999999995"/>
    <n v="8948.25"/>
    <n v="6800.67"/>
    <n v="6442.74"/>
    <n v="8948.25"/>
    <n v="6800.67"/>
    <n v="1"/>
  </r>
  <r>
    <s v="Persistent"/>
    <x v="14"/>
    <s v="004K5O"/>
    <s v="004K5O744"/>
    <s v="Ashi Gupta"/>
    <s v="India"/>
    <s v="Noida"/>
    <s v="6B"/>
    <n v="23.5"/>
    <s v="Abhay Mishal"/>
    <s v="ServiceNow"/>
    <s v="GDC Labor"/>
    <x v="0"/>
    <n v="165.87"/>
    <n v="165.87"/>
    <n v="209.51999999999998"/>
    <m/>
    <m/>
    <m/>
    <m/>
    <m/>
    <m/>
    <m/>
    <m/>
    <m/>
    <s v="LWD - Mar 30, 2026"/>
    <n v="3897.9450000000002"/>
    <n v="3897.9450000000002"/>
    <n v="4923.7199999999993"/>
    <n v="0"/>
    <n v="0"/>
    <n v="0"/>
    <n v="0"/>
    <n v="0"/>
    <n v="0"/>
    <n v="0"/>
    <n v="0"/>
    <n v="0"/>
    <n v="1"/>
  </r>
  <r>
    <s v="Persistent"/>
    <x v="14"/>
    <s v="0069W7"/>
    <s v="0069W7744"/>
    <s v="Kanimozhi N"/>
    <s v="India"/>
    <s v="COIMBATORE"/>
    <s v="7A"/>
    <n v="27.5"/>
    <s v="Abhay Mishal"/>
    <s v="ServiceNow"/>
    <s v="GDC Labor"/>
    <x v="0"/>
    <m/>
    <m/>
    <m/>
    <m/>
    <m/>
    <n v="209.51999999999998"/>
    <n v="174.6"/>
    <n v="218.25"/>
    <n v="165.87"/>
    <n v="157.13999999999999"/>
    <n v="218.25"/>
    <n v="165.87"/>
    <m/>
    <n v="0"/>
    <n v="0"/>
    <n v="0"/>
    <n v="0"/>
    <n v="0"/>
    <n v="5761.7999999999993"/>
    <n v="4801.5"/>
    <n v="6001.875"/>
    <n v="4561.4250000000002"/>
    <n v="4321.3499999999995"/>
    <n v="6001.875"/>
    <n v="4561.4250000000002"/>
    <n v="1"/>
  </r>
  <r>
    <s v="Persistent"/>
    <x v="14"/>
    <s v="0050AA"/>
    <s v="0050AA744"/>
    <s v="Syed Sabiha"/>
    <s v="India"/>
    <s v="Bangalore"/>
    <s v="6B"/>
    <n v="19"/>
    <s v="Abhay Mishal"/>
    <s v="ServiceNow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3151.53"/>
    <n v="3151.53"/>
    <n v="3980.8799999999997"/>
    <n v="3151.53"/>
    <n v="3151.53"/>
    <n v="3980.8799999999997"/>
    <n v="3317.4"/>
    <n v="4146.75"/>
    <n v="3151.53"/>
    <n v="2985.66"/>
    <n v="4146.75"/>
    <n v="3151.53"/>
    <n v="1"/>
  </r>
  <r>
    <s v="Persistent"/>
    <x v="14"/>
    <s v="SVJJLG"/>
    <s v="SVJJLG744"/>
    <s v="Shaik Jaleel"/>
    <s v="India"/>
    <s v="Hyderabad"/>
    <s v="6B"/>
    <n v="22.5"/>
    <s v="Abhay Mishal"/>
    <s v="ServiceNow"/>
    <s v="GDC Labor"/>
    <x v="5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3732.0750000000003"/>
    <n v="3732.0750000000003"/>
    <n v="4714.2"/>
    <n v="3732.0750000000003"/>
    <n v="3732.0750000000003"/>
    <n v="4714.2"/>
    <n v="3928.5"/>
    <n v="4910.625"/>
    <n v="3732.0750000000003"/>
    <n v="3535.6499999999996"/>
    <n v="4910.625"/>
    <n v="3732.0750000000003"/>
    <n v="1"/>
  </r>
  <r>
    <s v="Persistent"/>
    <x v="14"/>
    <s v="004JOW"/>
    <s v="004JOW744"/>
    <s v="Rishika Sheri"/>
    <s v="India"/>
    <s v="Hyderabad"/>
    <s v="6B"/>
    <n v="19"/>
    <s v="Abhay Mishal"/>
    <s v="ServiceNow"/>
    <s v="GDC Labor"/>
    <x v="0"/>
    <m/>
    <m/>
    <m/>
    <m/>
    <n v="165.87"/>
    <n v="209.51999999999998"/>
    <n v="174.6"/>
    <n v="218.25"/>
    <n v="165.87"/>
    <n v="157.13999999999999"/>
    <n v="218.25"/>
    <n v="165.87"/>
    <m/>
    <n v="0"/>
    <n v="0"/>
    <n v="0"/>
    <n v="0"/>
    <n v="3151.53"/>
    <n v="3980.8799999999997"/>
    <n v="3317.4"/>
    <n v="4146.75"/>
    <n v="3151.53"/>
    <n v="2985.66"/>
    <n v="4146.75"/>
    <n v="3151.53"/>
    <n v="1"/>
  </r>
  <r>
    <s v="Persistent"/>
    <x v="14"/>
    <s v="004SC0"/>
    <s v="004SC0744"/>
    <s v="Lovish L"/>
    <s v="India"/>
    <s v="Noida"/>
    <s v="6A"/>
    <n v="17"/>
    <s v="Abhay Mishal"/>
    <s v="ServiceNow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2819.79"/>
    <n v="2819.79"/>
    <n v="3561.8399999999997"/>
    <n v="2968.2"/>
    <n v="2819.79"/>
    <n v="3413.43"/>
    <n v="2968.2"/>
    <n v="3710.25"/>
    <n v="2819.79"/>
    <n v="2671.3799999999997"/>
    <n v="3710.25"/>
    <n v="2819.79"/>
    <n v="1"/>
  </r>
  <r>
    <s v="Persistent"/>
    <x v="14"/>
    <s v="000AUI"/>
    <s v="000AUI744"/>
    <s v="Jyoti Powar"/>
    <s v="India"/>
    <s v="Pune"/>
    <s v="7B"/>
    <n v="30.5"/>
    <s v="Abhay Mishal"/>
    <s v="ServiceNow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5325.3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14"/>
    <s v="002ICM"/>
    <s v="002ICM744"/>
    <s v="Jyoti Chauhan Singh"/>
    <s v="India"/>
    <s v="Noida"/>
    <s v="7B"/>
    <n v="30.5"/>
    <s v="Abhay Mishal"/>
    <s v="ServiceNow"/>
    <s v="GDC Labor"/>
    <x v="0"/>
    <m/>
    <n v="165.87"/>
    <n v="200.79"/>
    <n v="174.6"/>
    <n v="165.87"/>
    <n v="209.51999999999998"/>
    <n v="174.6"/>
    <n v="218.25"/>
    <n v="165.87"/>
    <n v="157.13999999999999"/>
    <n v="209.51999999999998"/>
    <n v="165.87"/>
    <m/>
    <n v="0"/>
    <n v="5059.0349999999999"/>
    <n v="6124.0949999999993"/>
    <n v="5325.3"/>
    <n v="5059.0349999999999"/>
    <n v="6390.36"/>
    <n v="5325.3"/>
    <n v="6656.625"/>
    <n v="5059.0349999999999"/>
    <n v="4792.7699999999995"/>
    <n v="6390.36"/>
    <n v="5059.0349999999999"/>
    <n v="1"/>
  </r>
  <r>
    <s v="Persistent"/>
    <x v="14"/>
    <s v="0055WA"/>
    <s v="0055WA744"/>
    <s v="Md Aquib Khan"/>
    <s v="India"/>
    <s v="Kolkata"/>
    <s v="7B"/>
    <n v="30.5"/>
    <s v="Abhay Mishal"/>
    <s v="ServiceNow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5059.0349999999999"/>
    <n v="5059.0349999999999"/>
    <n v="6390.36"/>
    <n v="5325.3"/>
    <n v="5059.0349999999999"/>
    <n v="6124.0949999999993"/>
    <n v="5325.3"/>
    <n v="6656.625"/>
    <n v="5059.0349999999999"/>
    <n v="4792.7699999999995"/>
    <n v="6656.625"/>
    <n v="5059.0349999999999"/>
    <n v="1"/>
  </r>
  <r>
    <s v="Persistent"/>
    <x v="14"/>
    <s v="P102C5"/>
    <s v="P102C5PH1"/>
    <s v="Con Felizarta"/>
    <s v="PH"/>
    <s v="Philippines"/>
    <s v="6A"/>
    <n v="28.5"/>
    <s v="Abhay Mishal"/>
    <s v="ServiceNow"/>
    <s v="GDC Labor"/>
    <x v="0"/>
    <n v="165.87"/>
    <n v="165.87"/>
    <n v="218.25"/>
    <n v="148.41"/>
    <n v="165.87"/>
    <n v="209"/>
    <n v="174.6"/>
    <n v="200.79"/>
    <n v="165.87"/>
    <n v="174.6"/>
    <n v="218.25"/>
    <n v="148.41"/>
    <m/>
    <n v="4727.2950000000001"/>
    <n v="4727.2950000000001"/>
    <n v="6220.125"/>
    <n v="4229.6849999999995"/>
    <n v="4727.2950000000001"/>
    <n v="5956.5"/>
    <n v="4976.0999999999995"/>
    <n v="5722.5149999999994"/>
    <n v="4727.2950000000001"/>
    <n v="4976.0999999999995"/>
    <n v="6220.125"/>
    <n v="4229.6849999999995"/>
    <n v="1"/>
  </r>
  <r>
    <s v="Persistent"/>
    <x v="14"/>
    <s v="004MPB"/>
    <s v="004MPB744"/>
    <s v="Ishita Aggarwal "/>
    <s v="India"/>
    <s v="Bangalore"/>
    <n v="8"/>
    <n v="50.5"/>
    <s v="Abhay Mishal"/>
    <s v="ServiceNow"/>
    <s v="GDC Labor"/>
    <x v="0"/>
    <n v="83"/>
    <m/>
    <m/>
    <m/>
    <m/>
    <m/>
    <m/>
    <m/>
    <m/>
    <m/>
    <m/>
    <m/>
    <s v="LWD - Jan 16, 2026"/>
    <n v="4191.5"/>
    <n v="0"/>
    <n v="0"/>
    <n v="0"/>
    <n v="0"/>
    <n v="0"/>
    <n v="0"/>
    <n v="0"/>
    <n v="0"/>
    <n v="0"/>
    <n v="0"/>
    <n v="0"/>
    <n v="0"/>
  </r>
  <r>
    <s v="Persistent"/>
    <x v="14"/>
    <s v="000H2G"/>
    <s v="000H2G649"/>
    <s v="Ashutosh Mishra"/>
    <s v="Local"/>
    <s v="Canada"/>
    <n v="7"/>
    <n v="92.5"/>
    <s v="Abhay Mishal"/>
    <s v="ServiceNow"/>
    <s v="Non GDC Labor"/>
    <x v="1"/>
    <n v="152"/>
    <m/>
    <m/>
    <m/>
    <m/>
    <m/>
    <m/>
    <m/>
    <m/>
    <m/>
    <m/>
    <m/>
    <m/>
    <n v="14060"/>
    <n v="0"/>
    <n v="0"/>
    <n v="0"/>
    <n v="0"/>
    <n v="0"/>
    <n v="0"/>
    <n v="0"/>
    <n v="0"/>
    <n v="0"/>
    <n v="0"/>
    <n v="0"/>
    <n v="0"/>
  </r>
  <r>
    <s v="Persistent"/>
    <x v="14"/>
    <m/>
    <m/>
    <s v="Nav Singh"/>
    <s v="Local"/>
    <s v="Canada"/>
    <n v="8"/>
    <n v="100"/>
    <s v="Abhay Mishal"/>
    <s v="ServiceNow"/>
    <s v="Non GDC Labor"/>
    <x v="5"/>
    <n v="152"/>
    <m/>
    <n v="210.48999999999998"/>
    <m/>
    <m/>
    <m/>
    <m/>
    <m/>
    <m/>
    <m/>
    <m/>
    <m/>
    <m/>
    <n v="15200"/>
    <n v="0"/>
    <n v="21048.999999999996"/>
    <n v="0"/>
    <n v="0"/>
    <n v="0"/>
    <n v="0"/>
    <n v="0"/>
    <n v="0"/>
    <n v="0"/>
    <n v="0"/>
    <n v="0"/>
    <n v="0"/>
  </r>
  <r>
    <s v="Persistent"/>
    <x v="14"/>
    <s v="SVCJ20"/>
    <s v="SVCJ20744"/>
    <s v="Tanish Arora"/>
    <s v="India"/>
    <s v="Noida"/>
    <s v="7B"/>
    <n v="35.5"/>
    <s v="Abhay Mishal"/>
    <s v="ServiceNow"/>
    <s v="GDC Labor"/>
    <x v="5"/>
    <n v="166.84"/>
    <n v="166.84"/>
    <n v="210.48999999999998"/>
    <n v="166.84"/>
    <n v="166.84"/>
    <n v="202.73"/>
    <n v="174.6"/>
    <n v="218.25"/>
    <n v="166.84"/>
    <n v="159.07999999999998"/>
    <n v="210.48999999999998"/>
    <n v="166.84"/>
    <m/>
    <n v="5922.82"/>
    <n v="5922.82"/>
    <n v="7472.3949999999995"/>
    <n v="5922.82"/>
    <n v="5922.82"/>
    <n v="7196.915"/>
    <n v="6198.3"/>
    <n v="7747.875"/>
    <n v="5922.82"/>
    <n v="5647.3399999999992"/>
    <n v="7472.3949999999995"/>
    <n v="5922.82"/>
    <n v="1"/>
  </r>
  <r>
    <s v="Persistent"/>
    <x v="14"/>
    <s v="0G2362"/>
    <s v="0G2362649"/>
    <s v="Navin Arbatti"/>
    <s v="Local"/>
    <s v="Canada"/>
    <n v="9"/>
    <n v="185.5"/>
    <s v="Abhay Mishal"/>
    <s v="ServiceNow"/>
    <s v="Non GDC Labor"/>
    <x v="1"/>
    <m/>
    <m/>
    <m/>
    <m/>
    <m/>
    <n v="200"/>
    <n v="152"/>
    <n v="192"/>
    <n v="152"/>
    <n v="152"/>
    <n v="192"/>
    <n v="152"/>
    <m/>
    <n v="0"/>
    <n v="0"/>
    <n v="0"/>
    <n v="0"/>
    <n v="0"/>
    <n v="37100"/>
    <n v="28196"/>
    <n v="35616"/>
    <n v="28196"/>
    <n v="28196"/>
    <n v="35616"/>
    <n v="28196"/>
    <n v="1"/>
  </r>
  <r>
    <s v="Persistent"/>
    <x v="14"/>
    <s v="0D8640"/>
    <s v="0D8640649"/>
    <s v="Mohammad Khalid"/>
    <s v="Local"/>
    <s v="Canada"/>
    <n v="9"/>
    <n v="229.5"/>
    <s v="Abhay Mishal"/>
    <s v="ServiceNow"/>
    <s v="Non GDC Labor"/>
    <x v="1"/>
    <n v="152"/>
    <n v="152"/>
    <n v="192"/>
    <n v="160"/>
    <n v="152"/>
    <n v="200"/>
    <n v="152"/>
    <n v="192"/>
    <n v="152"/>
    <n v="152"/>
    <n v="192"/>
    <n v="152"/>
    <m/>
    <n v="34884"/>
    <n v="34884"/>
    <n v="44064"/>
    <n v="36720"/>
    <n v="34884"/>
    <n v="45900"/>
    <n v="34884"/>
    <n v="44064"/>
    <n v="34884"/>
    <n v="34884"/>
    <n v="44064"/>
    <n v="34884"/>
    <n v="1"/>
  </r>
  <r>
    <s v="Persistent"/>
    <x v="14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8050.8982500000011"/>
    <n v="8141.0887500000017"/>
    <n v="10239.562499999998"/>
    <n v="8513.6414999999997"/>
    <n v="9497.0760000000009"/>
    <n v="12109.518749999997"/>
    <n v="9939.1050000000014"/>
    <n v="12349.239749999999"/>
    <n v="9447.3150000000005"/>
    <n v="9030.1664999999957"/>
    <n v="12302.679749999999"/>
    <n v="9372.6735000000008"/>
    <m/>
  </r>
  <r>
    <s v="Persistent"/>
    <x v="14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000"/>
    <n v="2200"/>
    <n v="2000"/>
    <n v="2200"/>
    <n v="2000"/>
    <n v="2000"/>
    <n v="2200"/>
    <n v="2000"/>
    <m/>
  </r>
  <r>
    <s v="Persistent"/>
    <x v="14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648"/>
    <n v="648"/>
    <n v="810"/>
    <n v="648"/>
    <n v="648"/>
    <n v="810"/>
    <n v="648"/>
    <n v="810"/>
    <n v="648"/>
    <n v="648"/>
    <n v="810"/>
    <n v="648"/>
    <m/>
  </r>
  <r>
    <s v="Persistent"/>
    <x v="15"/>
    <s v="002Z15"/>
    <s v="002Z15744"/>
    <s v="Priyanand Ravindran"/>
    <s v="India"/>
    <s v="Bangalore"/>
    <s v="6B"/>
    <n v="22.5"/>
    <s v="Abhay Mishal"/>
    <s v="ServiceNow PT2"/>
    <s v="GDC Labor"/>
    <x v="0"/>
    <n v="165.87"/>
    <n v="165.87"/>
    <n v="209.51999999999998"/>
    <n v="165.87"/>
    <n v="80"/>
    <m/>
    <m/>
    <m/>
    <m/>
    <m/>
    <m/>
    <m/>
    <s v="LWD - May 15, 2026"/>
    <n v="3732.0750000000003"/>
    <n v="3732.0750000000003"/>
    <n v="4714.2"/>
    <n v="3732.0750000000003"/>
    <n v="1800"/>
    <n v="0"/>
    <n v="0"/>
    <n v="0"/>
    <n v="0"/>
    <n v="0"/>
    <n v="0"/>
    <n v="0"/>
    <n v="1"/>
  </r>
  <r>
    <s v="Persistent"/>
    <x v="15"/>
    <s v="002U6Z"/>
    <s v="002U6Z744"/>
    <s v="Prajakta Thakare"/>
    <s v="India"/>
    <s v="Navi Mumbai"/>
    <s v="6B"/>
    <n v="19"/>
    <s v="Abhay Mishal"/>
    <s v="ServiceNow PT2"/>
    <s v="GDC Labor"/>
    <x v="0"/>
    <n v="174.6"/>
    <n v="165.87"/>
    <n v="200.79"/>
    <n v="174.6"/>
    <n v="165.87"/>
    <n v="209.51999999999998"/>
    <n v="174.6"/>
    <n v="218.25"/>
    <n v="165.87"/>
    <n v="157.13999999999999"/>
    <n v="209.51999999999998"/>
    <n v="165.87"/>
    <m/>
    <n v="3317.4"/>
    <n v="3151.53"/>
    <n v="3815.0099999999998"/>
    <n v="3317.4"/>
    <n v="3151.53"/>
    <n v="3980.8799999999997"/>
    <n v="3317.4"/>
    <n v="4146.75"/>
    <n v="3151.53"/>
    <n v="2985.66"/>
    <n v="3980.8799999999997"/>
    <n v="3151.53"/>
    <n v="1"/>
  </r>
  <r>
    <s v="Persistent"/>
    <x v="15"/>
    <s v="0B7395"/>
    <s v="0B7395649"/>
    <s v="Mano Xavier Sebastianappan"/>
    <s v="Local"/>
    <s v="Canada"/>
    <n v="8"/>
    <n v="132.5"/>
    <s v="Abhay Mishal"/>
    <s v="ServiceNow PT2"/>
    <s v="Non GDC Labor"/>
    <x v="1"/>
    <n v="152"/>
    <n v="152"/>
    <n v="192"/>
    <n v="160"/>
    <n v="152"/>
    <n v="200"/>
    <n v="152"/>
    <n v="192"/>
    <n v="152"/>
    <n v="152"/>
    <n v="192"/>
    <n v="152"/>
    <m/>
    <n v="20140"/>
    <n v="20140"/>
    <n v="25440"/>
    <n v="21200"/>
    <n v="20140"/>
    <n v="26500"/>
    <n v="20140"/>
    <n v="25440"/>
    <n v="20140"/>
    <n v="20140"/>
    <n v="25440"/>
    <n v="20140"/>
    <n v="1"/>
  </r>
  <r>
    <s v="Persistent"/>
    <x v="15"/>
    <s v="0F3460"/>
    <s v="0F3460649"/>
    <s v="Sai Rama Krishna"/>
    <s v="CIC Calgary"/>
    <s v="Canada"/>
    <n v="7"/>
    <n v="105.5"/>
    <s v="Abhay Mishal"/>
    <s v="ServiceNow PT2"/>
    <s v="Non GDC Labor"/>
    <x v="1"/>
    <m/>
    <n v="75"/>
    <n v="192"/>
    <n v="160"/>
    <n v="152"/>
    <n v="200"/>
    <n v="152"/>
    <n v="192"/>
    <n v="152"/>
    <n v="152"/>
    <n v="192"/>
    <n v="152"/>
    <m/>
    <n v="0"/>
    <n v="7912.5"/>
    <n v="20256"/>
    <n v="16880"/>
    <n v="16036"/>
    <n v="21100"/>
    <n v="16036"/>
    <n v="20256"/>
    <n v="16036"/>
    <n v="16036"/>
    <n v="20256"/>
    <n v="16036"/>
    <n v="1"/>
  </r>
  <r>
    <s v="Persistent"/>
    <x v="15"/>
    <s v="CVY5AN"/>
    <s v="CVY5ANCA3"/>
    <s v="Swati Kapoor"/>
    <s v="Local"/>
    <s v="Canada"/>
    <n v="8"/>
    <n v="110"/>
    <s v="Abhay Mishal"/>
    <s v="ServiceNow PT2"/>
    <s v="Non GDC Labor"/>
    <x v="5"/>
    <m/>
    <n v="75"/>
    <n v="192"/>
    <n v="160"/>
    <n v="152"/>
    <n v="200"/>
    <n v="152"/>
    <n v="192"/>
    <n v="152"/>
    <n v="152"/>
    <n v="192"/>
    <n v="152"/>
    <m/>
    <n v="0"/>
    <n v="8250"/>
    <n v="21120"/>
    <n v="17600"/>
    <n v="16720"/>
    <n v="22000"/>
    <n v="16720"/>
    <n v="21120"/>
    <n v="16720"/>
    <n v="16720"/>
    <n v="21120"/>
    <n v="16720"/>
    <n v="1"/>
  </r>
  <r>
    <s v="Persistent"/>
    <x v="15"/>
    <s v="005T06"/>
    <s v="005T06744"/>
    <s v="Nidhi Kashyap"/>
    <s v="India"/>
    <s v="Kolkata"/>
    <s v="7A"/>
    <n v="29.5"/>
    <s v="Abhay Mishal"/>
    <s v="ServiceNow PT2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4893.165"/>
    <n v="4893.165"/>
    <n v="6180.8399999999992"/>
    <n v="5150.7"/>
    <n v="4893.165"/>
    <n v="5923.3049999999994"/>
    <n v="5150.7"/>
    <n v="6438.375"/>
    <n v="4893.165"/>
    <n v="4635.6299999999992"/>
    <n v="6438.375"/>
    <n v="4893.165"/>
    <n v="1"/>
  </r>
  <r>
    <s v="Persistent"/>
    <x v="15"/>
    <s v="000YYO"/>
    <s v="000YYO744"/>
    <s v="Shaik Adam Riyazudeen (ServiceNow)"/>
    <s v="CIC Calgary"/>
    <s v="Canada"/>
    <n v="7"/>
    <n v="95"/>
    <s v="Abhay Mishal"/>
    <s v="ServiceNow PT2"/>
    <s v="Non GDC Labor"/>
    <x v="1"/>
    <n v="171"/>
    <n v="80"/>
    <m/>
    <m/>
    <m/>
    <m/>
    <m/>
    <m/>
    <m/>
    <m/>
    <m/>
    <m/>
    <s v="LWD - Feb 13, 2026"/>
    <n v="16245"/>
    <n v="7600"/>
    <n v="0"/>
    <n v="0"/>
    <n v="0"/>
    <n v="0"/>
    <n v="0"/>
    <n v="0"/>
    <n v="0"/>
    <n v="0"/>
    <n v="0"/>
    <n v="0"/>
    <n v="1"/>
  </r>
  <r>
    <s v="Persistent"/>
    <x v="15"/>
    <s v="04699D"/>
    <s v="04699D744"/>
    <s v="ANOOJA GIRIJAKUMARI (ServiceNow)"/>
    <s v="India"/>
    <s v="Bangalore"/>
    <s v="7B"/>
    <n v="30.5"/>
    <s v="Abhay Mishal"/>
    <s v="ServiceNow PT2"/>
    <s v="GDC Labor"/>
    <x v="0"/>
    <n v="165.87"/>
    <n v="165.87"/>
    <n v="209.51999999999998"/>
    <n v="165.87"/>
    <n v="165.87"/>
    <n v="209.51999999999998"/>
    <n v="174.6"/>
    <n v="218.25"/>
    <n v="165.87"/>
    <n v="157.13999999999999"/>
    <n v="218.25"/>
    <n v="165.87"/>
    <m/>
    <n v="5059.0349999999999"/>
    <n v="5059.0349999999999"/>
    <n v="6390.36"/>
    <n v="5059.0349999999999"/>
    <n v="5059.0349999999999"/>
    <n v="6390.36"/>
    <n v="5325.3"/>
    <n v="6656.625"/>
    <n v="5059.0349999999999"/>
    <n v="4792.7699999999995"/>
    <n v="6656.625"/>
    <n v="5059.0349999999999"/>
    <n v="1"/>
  </r>
  <r>
    <s v="Persistent"/>
    <x v="15"/>
    <s v="002KQV"/>
    <s v="002KQV744"/>
    <s v="Challa Pavan Kumar (ServiceNow)"/>
    <s v="India"/>
    <s v="Hyderabad"/>
    <s v="6B"/>
    <n v="19"/>
    <s v="Abhay Mishal"/>
    <s v="ServiceNow PT2"/>
    <s v="GDC Labor"/>
    <x v="0"/>
    <m/>
    <m/>
    <m/>
    <n v="174.6"/>
    <n v="165.87"/>
    <n v="200.79"/>
    <n v="174.6"/>
    <n v="218.25"/>
    <n v="165.87"/>
    <n v="157.13999999999999"/>
    <n v="218.25"/>
    <n v="165.87"/>
    <m/>
    <n v="0"/>
    <n v="0"/>
    <n v="0"/>
    <n v="3317.4"/>
    <n v="3151.53"/>
    <n v="3815.0099999999998"/>
    <n v="3317.4"/>
    <n v="4146.75"/>
    <n v="3151.53"/>
    <n v="2985.66"/>
    <n v="4146.75"/>
    <n v="3151.53"/>
    <n v="1"/>
  </r>
  <r>
    <s v="Persistent"/>
    <x v="15"/>
    <s v="P101AC"/>
    <s v="P101ACPH1"/>
    <s v="Genna De Guzman (ServiceNow)"/>
    <s v="PH"/>
    <s v="Philippines"/>
    <n v="8"/>
    <n v="77"/>
    <s v="Abhay Mishal"/>
    <s v="ServiceNow PT2"/>
    <s v="GDC Labor"/>
    <x v="0"/>
    <n v="165.87"/>
    <n v="165.87"/>
    <n v="218.25"/>
    <m/>
    <m/>
    <m/>
    <m/>
    <m/>
    <m/>
    <m/>
    <m/>
    <m/>
    <m/>
    <n v="12771.99"/>
    <n v="12771.99"/>
    <n v="16805.25"/>
    <n v="0"/>
    <n v="0"/>
    <n v="0"/>
    <n v="0"/>
    <n v="0"/>
    <n v="0"/>
    <n v="0"/>
    <n v="0"/>
    <n v="0"/>
    <n v="1"/>
  </r>
  <r>
    <s v="Persistent"/>
    <x v="15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4466.0497500000001"/>
    <n v="4441.1692499999999"/>
    <n v="5685.8490000000002"/>
    <n v="3086.4915000000001"/>
    <n v="2708.2889999999998"/>
    <n v="3016.4332499999996"/>
    <n v="2566.6200000000003"/>
    <n v="3208.2750000000001"/>
    <n v="2438.2889999999998"/>
    <n v="2309.9579999999996"/>
    <n v="3183.3944999999994"/>
    <n v="2438.2889999999998"/>
    <m/>
  </r>
  <r>
    <s v="Persistent"/>
    <x v="15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000"/>
    <n v="2200"/>
    <n v="2000"/>
    <n v="2200"/>
    <n v="2000"/>
    <n v="2000"/>
    <n v="2200"/>
    <n v="2000"/>
    <m/>
  </r>
  <r>
    <s v="Persistent"/>
    <x v="15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648"/>
    <n v="648"/>
    <n v="810"/>
    <n v="648"/>
    <n v="648"/>
    <n v="810"/>
    <n v="648"/>
    <n v="810"/>
    <n v="648"/>
    <n v="648"/>
    <n v="810"/>
    <n v="648"/>
    <m/>
  </r>
  <r>
    <s v="Persistent"/>
    <x v="16"/>
    <s v="0031JW"/>
    <s v="0031JW744"/>
    <s v="Pankaj Singh"/>
    <s v="India"/>
    <s v="Noida"/>
    <s v="6B"/>
    <n v="19"/>
    <s v="Prashant Kayangude"/>
    <s v="Triage Evaluate &amp; Dispatch"/>
    <s v="GDC Labor"/>
    <x v="0"/>
    <n v="165.87"/>
    <n v="165.87"/>
    <n v="209.51999999999998"/>
    <n v="174.6"/>
    <n v="165.87"/>
    <n v="200.79"/>
    <n v="174.6"/>
    <n v="218.25"/>
    <n v="165.87"/>
    <n v="157.13999999999999"/>
    <n v="218.25"/>
    <n v="165.87"/>
    <m/>
    <n v="3151.53"/>
    <n v="3151.53"/>
    <n v="3980.8799999999997"/>
    <n v="3317.4"/>
    <n v="3151.53"/>
    <n v="3815.0099999999998"/>
    <n v="3317.4"/>
    <n v="4146.75"/>
    <n v="3151.53"/>
    <n v="2985.66"/>
    <n v="4146.75"/>
    <n v="3151.53"/>
    <n v="1"/>
  </r>
  <r>
    <s v="Persistent"/>
    <x v="16"/>
    <s v="005VPU"/>
    <s v="005VPU744"/>
    <s v="Piyush Dhiman"/>
    <s v="India"/>
    <s v="Pune"/>
    <s v="6G"/>
    <n v="14"/>
    <s v="Prashant Kayangude"/>
    <s v="Triage Evaluate &amp; Dispatch"/>
    <s v="GDC Labor"/>
    <x v="0"/>
    <m/>
    <n v="120.87"/>
    <n v="200.79"/>
    <n v="174.6"/>
    <n v="165.87"/>
    <n v="209.51999999999998"/>
    <n v="174.6"/>
    <n v="218.25"/>
    <n v="165.87"/>
    <n v="157.13999999999999"/>
    <n v="209.51999999999998"/>
    <n v="165.87"/>
    <s v="Pooja NM backfill"/>
    <n v="0"/>
    <n v="1692.18"/>
    <n v="2811.06"/>
    <n v="2444.4"/>
    <n v="2322.1800000000003"/>
    <n v="2933.2799999999997"/>
    <n v="2444.4"/>
    <n v="3055.5"/>
    <n v="2322.1800000000003"/>
    <n v="2199.96"/>
    <n v="2933.2799999999997"/>
    <n v="2322.1800000000003"/>
    <n v="1"/>
  </r>
  <r>
    <s v="Persistent"/>
    <x v="16"/>
    <s v="005VRG"/>
    <s v="005VRG744"/>
    <s v="Harjot Singh"/>
    <s v="India"/>
    <s v="Pune"/>
    <s v="6G"/>
    <n v="14"/>
    <s v="Prashant Kayangude"/>
    <s v="Triage Evaluate &amp; Dispatch"/>
    <s v="GDC Labor"/>
    <x v="0"/>
    <m/>
    <n v="120.87"/>
    <n v="200.79"/>
    <n v="174.6"/>
    <n v="165.87"/>
    <n v="209.51999999999998"/>
    <n v="174.6"/>
    <n v="218.25"/>
    <n v="165.87"/>
    <n v="157.13999999999999"/>
    <n v="209.51999999999998"/>
    <n v="165.87"/>
    <s v="Pooja NM backfill"/>
    <n v="0"/>
    <n v="1692.18"/>
    <n v="2811.06"/>
    <n v="2444.4"/>
    <n v="2322.1800000000003"/>
    <n v="2933.2799999999997"/>
    <n v="2444.4"/>
    <n v="3055.5"/>
    <n v="2322.1800000000003"/>
    <n v="2199.96"/>
    <n v="2933.2799999999997"/>
    <n v="2322.1800000000003"/>
    <n v="1"/>
  </r>
  <r>
    <s v="Persistent"/>
    <x v="16"/>
    <s v="004D7F"/>
    <s v="004D7F744"/>
    <s v="Kranthi Gondu"/>
    <s v="India"/>
    <s v="Hyderabad"/>
    <s v="6A"/>
    <n v="17"/>
    <s v="Prashant Kayangude"/>
    <s v="Triage Evaluate &amp; Dispatch"/>
    <s v="GDC Labor"/>
    <x v="0"/>
    <n v="166"/>
    <n v="166"/>
    <n v="209.51999999999998"/>
    <n v="174.6"/>
    <n v="165.87"/>
    <n v="200.79"/>
    <n v="174.6"/>
    <n v="218.25"/>
    <n v="165.87"/>
    <n v="157.13999999999999"/>
    <n v="218.25"/>
    <n v="165.87"/>
    <m/>
    <n v="2822"/>
    <n v="2822"/>
    <n v="3561.8399999999997"/>
    <n v="2968.2"/>
    <n v="2819.79"/>
    <n v="3413.43"/>
    <n v="2968.2"/>
    <n v="3710.25"/>
    <n v="2819.79"/>
    <n v="2671.3799999999997"/>
    <n v="3710.25"/>
    <n v="2819.79"/>
    <n v="1"/>
  </r>
  <r>
    <s v="Persistent"/>
    <x v="16"/>
    <s v="0F2976"/>
    <s v="0F2976649"/>
    <s v="Jastegh Singh"/>
    <s v="Local"/>
    <s v="Canada"/>
    <n v="6"/>
    <n v="63.5"/>
    <s v="Prashant Kayangude"/>
    <s v="Triage Evaluate &amp; Dispatch"/>
    <s v="GDC Labor"/>
    <x v="0"/>
    <m/>
    <m/>
    <m/>
    <m/>
    <m/>
    <n v="160"/>
    <n v="152"/>
    <n v="192"/>
    <n v="152"/>
    <n v="152"/>
    <n v="192"/>
    <n v="152"/>
    <m/>
    <n v="0"/>
    <n v="0"/>
    <n v="0"/>
    <n v="0"/>
    <n v="0"/>
    <n v="10160"/>
    <n v="9652"/>
    <n v="12192"/>
    <n v="9652"/>
    <n v="9652"/>
    <n v="12192"/>
    <n v="9652"/>
    <n v="1"/>
  </r>
  <r>
    <s v="Persistent"/>
    <x v="16"/>
    <s v="0F3112"/>
    <s v="0F3112649"/>
    <s v="Naveen Alphonse"/>
    <s v="Local"/>
    <s v="Canada"/>
    <n v="9"/>
    <n v="333.5"/>
    <s v="Prashant Kayangude"/>
    <s v="S&amp;M Arechitech"/>
    <s v="GDC Labor"/>
    <x v="0"/>
    <m/>
    <m/>
    <m/>
    <m/>
    <m/>
    <n v="10"/>
    <n v="10"/>
    <n v="10"/>
    <n v="10"/>
    <n v="10"/>
    <n v="10"/>
    <n v="10"/>
    <m/>
    <n v="0"/>
    <n v="0"/>
    <n v="0"/>
    <n v="0"/>
    <n v="0"/>
    <n v="3335"/>
    <n v="3335"/>
    <n v="3335"/>
    <n v="3335"/>
    <n v="3335"/>
    <n v="3335"/>
    <n v="3335"/>
    <n v="1"/>
  </r>
  <r>
    <s v="Persistent"/>
    <x v="16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896.0295000000001"/>
    <n v="1403.6834999999999"/>
    <n v="1974.7259999999999"/>
    <n v="1676.16"/>
    <n v="1592.3520000000001"/>
    <n v="1964.25"/>
    <n v="1676.16"/>
    <n v="2095.1999999999998"/>
    <n v="1592.3520000000001"/>
    <n v="1508.5439999999999"/>
    <n v="2058.5339999999997"/>
    <n v="1592.3520000000001"/>
    <m/>
  </r>
  <r>
    <s v="Persistent"/>
    <x v="16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2000"/>
    <n v="2000"/>
    <n v="2200"/>
    <n v="2000"/>
    <n v="2000"/>
    <n v="2200"/>
    <n v="2000"/>
    <n v="2200"/>
    <n v="2000"/>
    <n v="2000"/>
    <n v="2200"/>
    <n v="2000"/>
    <m/>
  </r>
  <r>
    <s v="Persistent"/>
    <x v="16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259.2"/>
    <n v="259.2"/>
    <n v="324"/>
    <n v="259.2"/>
    <n v="259.2"/>
    <n v="324"/>
    <n v="259.2"/>
    <n v="324"/>
    <n v="259.2"/>
    <n v="259.2"/>
    <n v="324"/>
    <n v="259.2"/>
    <m/>
  </r>
  <r>
    <s v="BUD"/>
    <x v="17"/>
    <s v="003JQA"/>
    <s v="003JQA744"/>
    <s v="Harish Venkata Menta"/>
    <s v="India"/>
    <s v="Bangalore"/>
    <s v="7B"/>
    <n v="30.5"/>
    <s v="Saumen Mondal"/>
    <s v="ECM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5059.0349999999999"/>
    <n v="5059.0349999999999"/>
    <n v="6390.36"/>
    <n v="5059.0349999999999"/>
    <n v="4850.415"/>
    <n v="6382.125"/>
    <n v="5105.7"/>
    <n v="6382.125"/>
    <n v="4850.415"/>
    <n v="4595.13"/>
    <n v="6382.125"/>
    <n v="4850.415"/>
    <n v="1"/>
  </r>
  <r>
    <s v="BUD"/>
    <x v="17"/>
    <s v="0226C7"/>
    <s v="0226C7744"/>
    <s v="Saumen Mondal"/>
    <s v="India"/>
    <s v="Kolkata"/>
    <s v="7B"/>
    <n v="30.5"/>
    <s v="Saumen Mondal"/>
    <s v="ECM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5059.0349999999999"/>
    <n v="5059.0349999999999"/>
    <n v="6390.36"/>
    <n v="5325.3"/>
    <n v="4850.415"/>
    <n v="6382.125"/>
    <n v="5105.7"/>
    <n v="6382.125"/>
    <n v="4850.415"/>
    <n v="4595.13"/>
    <n v="6382.125"/>
    <n v="4850.415"/>
    <n v="1"/>
  </r>
  <r>
    <s v="BUD"/>
    <x v="17"/>
    <s v="005PUQ"/>
    <s v="005PUQ744"/>
    <s v="Belduri Kotesh"/>
    <s v="India"/>
    <s v="COIMBATORE"/>
    <s v="6G"/>
    <n v="14"/>
    <s v="Saumen Mondal"/>
    <s v="ECM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s v="Backfill of Shraddha Phadtare"/>
    <n v="2322.1800000000003"/>
    <n v="2322.1800000000003"/>
    <n v="2933.2799999999997"/>
    <n v="2444.4"/>
    <n v="2226.42"/>
    <n v="2929.5"/>
    <n v="2343.6"/>
    <n v="2929.5"/>
    <n v="2226.42"/>
    <n v="2109.2399999999998"/>
    <n v="2929.5"/>
    <n v="2226.42"/>
    <n v="1"/>
  </r>
  <r>
    <s v="BUD"/>
    <x v="17"/>
    <s v="0A1023"/>
    <s v="0A1023649"/>
    <s v="Marina Gatto"/>
    <s v="Local"/>
    <s v="Canada"/>
    <n v="8"/>
    <n v="132.5"/>
    <s v="Prashant Kayangude"/>
    <s v="RFMP"/>
    <s v="Non GDC Labor"/>
    <x v="1"/>
    <n v="31"/>
    <n v="31"/>
    <n v="39"/>
    <n v="32"/>
    <n v="31"/>
    <m/>
    <m/>
    <m/>
    <m/>
    <m/>
    <m/>
    <m/>
    <s v="Rolloff"/>
    <n v="4107.5"/>
    <n v="4107.5"/>
    <n v="5167.5"/>
    <n v="4240"/>
    <n v="4107.5"/>
    <n v="0"/>
    <n v="0"/>
    <n v="0"/>
    <n v="0"/>
    <n v="0"/>
    <n v="0"/>
    <n v="0"/>
    <n v="0"/>
  </r>
  <r>
    <s v="BUD"/>
    <x v="17"/>
    <s v="088111"/>
    <s v="088111649"/>
    <s v="Shahzada Umair"/>
    <s v="Local"/>
    <s v="Canada"/>
    <n v="7"/>
    <n v="112"/>
    <s v="Prashant Kayangude"/>
    <s v="Loyalty"/>
    <s v="Non GDC Labor"/>
    <x v="1"/>
    <n v="76"/>
    <n v="76"/>
    <n v="96"/>
    <n v="80"/>
    <n v="76"/>
    <n v="100"/>
    <n v="76"/>
    <n v="96"/>
    <n v="76"/>
    <n v="76"/>
    <n v="96"/>
    <n v="76"/>
    <m/>
    <n v="8512"/>
    <n v="8512"/>
    <n v="10752"/>
    <n v="8960"/>
    <n v="8512"/>
    <n v="11200"/>
    <n v="8512"/>
    <n v="10752"/>
    <n v="8512"/>
    <n v="8512"/>
    <n v="10752"/>
    <n v="8512"/>
    <n v="0.5"/>
  </r>
  <r>
    <s v="BUD"/>
    <x v="17"/>
    <n v="102703"/>
    <s v="102703PH1"/>
    <s v="Juan V SEGARRA"/>
    <s v="PH"/>
    <s v="Philippines"/>
    <s v="6B"/>
    <n v="25"/>
    <s v="Prashant Kayangude"/>
    <s v="Loyalty"/>
    <s v="GDC Labor"/>
    <x v="0"/>
    <n v="82.935000000000002"/>
    <m/>
    <m/>
    <m/>
    <m/>
    <m/>
    <m/>
    <m/>
    <m/>
    <m/>
    <m/>
    <m/>
    <m/>
    <n v="2073.375"/>
    <n v="0"/>
    <n v="0"/>
    <n v="0"/>
    <n v="0"/>
    <n v="0"/>
    <n v="0"/>
    <n v="0"/>
    <n v="0"/>
    <n v="0"/>
    <n v="0"/>
    <n v="0"/>
    <n v="0"/>
  </r>
  <r>
    <s v="BUD"/>
    <x v="17"/>
    <s v="03488M"/>
    <s v="03488M744"/>
    <s v="Jaydip R Patil"/>
    <s v="Landed"/>
    <s v="Canada"/>
    <n v="7"/>
    <n v="160"/>
    <s v="Omprakash Yadav"/>
    <s v="Airbox IBM Support"/>
    <s v="Non GDC Labor"/>
    <x v="1"/>
    <n v="76"/>
    <n v="76"/>
    <n v="96"/>
    <n v="80"/>
    <n v="76"/>
    <n v="100"/>
    <n v="76"/>
    <n v="96"/>
    <n v="76"/>
    <n v="76"/>
    <n v="96"/>
    <n v="76"/>
    <s v="0.5FTE moved to Downstream S&amp;M"/>
    <n v="12160"/>
    <n v="12160"/>
    <n v="15360"/>
    <n v="12800"/>
    <n v="12160"/>
    <n v="16000"/>
    <n v="12160"/>
    <n v="15360"/>
    <n v="12160"/>
    <n v="12160"/>
    <n v="15360"/>
    <n v="12160"/>
    <n v="0.5"/>
  </r>
  <r>
    <s v="BUD"/>
    <x v="17"/>
    <s v="03488M"/>
    <s v="03488M744"/>
    <s v="Jaydip R Patil"/>
    <s v="Landed"/>
    <s v="Canada"/>
    <n v="7"/>
    <n v="160"/>
    <s v="Prashant Kayangude"/>
    <s v="Downstream S&amp;M"/>
    <s v="Non GDC Labor"/>
    <x v="1"/>
    <n v="76"/>
    <n v="76"/>
    <n v="96"/>
    <n v="80"/>
    <n v="76"/>
    <n v="100"/>
    <n v="76"/>
    <n v="96"/>
    <n v="76"/>
    <n v="76"/>
    <n v="96"/>
    <n v="76"/>
    <s v="0.5FTE moved to Downstream S&amp;M"/>
    <n v="12160"/>
    <n v="12160"/>
    <n v="15360"/>
    <n v="12800"/>
    <n v="12160"/>
    <n v="16000"/>
    <n v="12160"/>
    <n v="15360"/>
    <n v="12160"/>
    <n v="12160"/>
    <n v="15360"/>
    <n v="12160"/>
    <n v="0.5"/>
  </r>
  <r>
    <s v="BUD"/>
    <x v="17"/>
    <s v="0B6436 "/>
    <s v="0B6436649 "/>
    <s v="Waseem Abulail"/>
    <s v="Local"/>
    <s v="Canada"/>
    <n v="7"/>
    <n v="112"/>
    <s v="Omprakash Yadav"/>
    <s v="UEU Operate Assets External"/>
    <s v="Non GDC Labor"/>
    <x v="5"/>
    <n v="76"/>
    <n v="76"/>
    <n v="96"/>
    <n v="80"/>
    <n v="76"/>
    <n v="100"/>
    <n v="76"/>
    <n v="96"/>
    <n v="76"/>
    <n v="76"/>
    <n v="96"/>
    <n v="76"/>
    <s v="0.5FTE moved to Downstream S&amp;M"/>
    <n v="8512"/>
    <n v="8512"/>
    <n v="10752"/>
    <n v="8960"/>
    <n v="8512"/>
    <n v="11200"/>
    <n v="8512"/>
    <n v="10752"/>
    <n v="8512"/>
    <n v="8512"/>
    <n v="10752"/>
    <n v="8512"/>
    <n v="0.5"/>
  </r>
  <r>
    <s v="BUD"/>
    <x v="17"/>
    <s v="0B6436 "/>
    <s v="0B6436649 "/>
    <s v="Waseem Abulail"/>
    <s v="Local"/>
    <s v="Canada"/>
    <n v="7"/>
    <n v="112"/>
    <s v="Prashant Kayangude"/>
    <s v="Downstream S&amp;M"/>
    <s v="Non GDC Labor"/>
    <x v="5"/>
    <n v="76"/>
    <n v="76"/>
    <n v="96"/>
    <n v="80"/>
    <n v="76"/>
    <n v="100"/>
    <n v="76"/>
    <n v="96"/>
    <n v="76"/>
    <n v="76"/>
    <n v="96"/>
    <n v="76"/>
    <s v="0.5FTE moved to Downstream S&amp;M"/>
    <n v="8512"/>
    <n v="8512"/>
    <n v="10752"/>
    <n v="8960"/>
    <n v="8512"/>
    <n v="11200"/>
    <n v="8512"/>
    <n v="10752"/>
    <n v="8512"/>
    <n v="8512"/>
    <n v="10752"/>
    <n v="8512"/>
    <n v="0.5"/>
  </r>
  <r>
    <s v="BUD"/>
    <x v="17"/>
    <s v="004CHB"/>
    <s v="004CHB744"/>
    <s v="Vaishnavi Shetty"/>
    <s v="India"/>
    <s v="Navi Mumbai"/>
    <s v="6A"/>
    <n v="17"/>
    <s v="Prashant Kayangude"/>
    <s v="Loyalty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2968.2"/>
    <n v="2819.79"/>
    <n v="3413.43"/>
    <n v="2968.2"/>
    <n v="2703.51"/>
    <n v="3557.25"/>
    <n v="2845.8"/>
    <n v="3557.25"/>
    <n v="2703.51"/>
    <n v="2561.2199999999998"/>
    <n v="3414.9600000000005"/>
    <n v="2703.51"/>
    <n v="1"/>
  </r>
  <r>
    <s v="BUD"/>
    <x v="17"/>
    <s v="SVVVYI"/>
    <s v="SVVVYI744"/>
    <s v="Shahrukh Kalim Sayyad"/>
    <s v="India"/>
    <s v="Pune"/>
    <n v="4"/>
    <n v="9"/>
    <s v="Prashant Kayangude"/>
    <s v="Control-M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1501.56"/>
    <n v="1501.56"/>
    <n v="1894.4099999999999"/>
    <n v="1501.56"/>
    <n v="1439.64"/>
    <n v="1883.25"/>
    <n v="1506.6000000000001"/>
    <n v="1883.25"/>
    <n v="1439.64"/>
    <n v="1372.68"/>
    <n v="1816.29"/>
    <n v="1439.64"/>
    <n v="1"/>
  </r>
  <r>
    <s v="BUD"/>
    <x v="17"/>
    <s v="04058R"/>
    <s v="04058R744"/>
    <s v="Dattatraya Y Ranaware"/>
    <s v="India"/>
    <s v="Pune"/>
    <s v="7A"/>
    <n v="29.5"/>
    <s v="Prashant Kayangude"/>
    <s v="Downstream Business App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659D9"/>
    <s v="0659D9744"/>
    <s v="Rafi Shaik"/>
    <s v="India"/>
    <s v="Hyderabad"/>
    <s v="7A"/>
    <n v="29.5"/>
    <s v="Prashant Kayangude"/>
    <s v="Downstream Business App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4893.165"/>
    <n v="4893.165"/>
    <n v="6180.8399999999992"/>
    <n v="5150.7"/>
    <n v="4691.3850000000002"/>
    <n v="6172.875"/>
    <n v="4938.3"/>
    <n v="6172.875"/>
    <n v="4691.3850000000002"/>
    <n v="4444.47"/>
    <n v="6172.875"/>
    <n v="4691.3850000000002"/>
    <n v="1"/>
  </r>
  <r>
    <s v="BUD"/>
    <x v="17"/>
    <s v="SVUWJ3"/>
    <s v="SVUWJ3744"/>
    <s v="Mohd Shamsuddin Ahmed"/>
    <s v="India"/>
    <s v="Pune"/>
    <s v="7A"/>
    <n v="29.5"/>
    <s v="Prashant Kayangude"/>
    <s v="Dynamics 365 CRM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s v="JUVAIRIYA FATHIMA backfill"/>
    <n v="4921.78"/>
    <n v="4921.78"/>
    <n v="6209.454999999999"/>
    <n v="4921.78"/>
    <n v="4718.8200000000006"/>
    <n v="6172.875"/>
    <n v="4938.3"/>
    <n v="6172.875"/>
    <n v="4718.8200000000006"/>
    <n v="4499.34"/>
    <n v="5953.3950000000004"/>
    <n v="4718.8200000000006"/>
    <n v="1"/>
  </r>
  <r>
    <s v="BUD"/>
    <x v="17"/>
    <s v="004HSV"/>
    <s v="004HSV744"/>
    <s v="Indrajit Biswas"/>
    <s v="India"/>
    <s v="Kolkata"/>
    <s v="7A"/>
    <n v="28.5"/>
    <s v="Prashant Kayangude"/>
    <s v="Dynamics 365 CRM"/>
    <s v="GDC Labor"/>
    <x v="0"/>
    <n v="165.87"/>
    <m/>
    <m/>
    <m/>
    <m/>
    <m/>
    <m/>
    <m/>
    <m/>
    <m/>
    <m/>
    <m/>
    <s v="LWD mid Jan"/>
    <n v="4727.2950000000001"/>
    <n v="0"/>
    <n v="0"/>
    <n v="0"/>
    <n v="0"/>
    <n v="0"/>
    <n v="0"/>
    <n v="0"/>
    <n v="0"/>
    <n v="0"/>
    <n v="0"/>
    <n v="0"/>
    <n v="0"/>
  </r>
  <r>
    <s v="BUD"/>
    <x v="17"/>
    <s v="0062PN"/>
    <s v="0062PN744"/>
    <s v="Sahil Nagdeve"/>
    <s v="India"/>
    <s v="Pune"/>
    <s v="6B"/>
    <n v="19"/>
    <s v="Prashant Kayangude"/>
    <s v="Dynamics 365 CRM"/>
    <s v="GDC Labor"/>
    <x v="0"/>
    <m/>
    <m/>
    <n v="209.51999999999998"/>
    <n v="174.6"/>
    <n v="159.03"/>
    <n v="209.25"/>
    <n v="167.4"/>
    <n v="209.25"/>
    <n v="159.03"/>
    <n v="150.66"/>
    <n v="200.88000000000002"/>
    <n v="159.03"/>
    <s v="Indrajit Biswas backfill"/>
    <n v="0"/>
    <n v="0"/>
    <n v="3980.8799999999997"/>
    <n v="3317.4"/>
    <n v="3021.57"/>
    <n v="3975.75"/>
    <n v="3180.6"/>
    <n v="3975.75"/>
    <n v="3021.57"/>
    <n v="2862.54"/>
    <n v="3816.7200000000003"/>
    <n v="3021.57"/>
    <n v="1"/>
  </r>
  <r>
    <s v="BUD"/>
    <x v="17"/>
    <s v="005C54"/>
    <s v="005C54744"/>
    <s v="Manish Vaishnav"/>
    <s v="India"/>
    <s v="Pune"/>
    <s v="7A"/>
    <n v="29.5"/>
    <s v="Prashant Kayangude"/>
    <s v="Dynamics 365 CR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2UKG"/>
    <s v="002UKG744"/>
    <s v="Srishti Kaushik"/>
    <s v="India"/>
    <s v="Bangalore"/>
    <s v="6B"/>
    <n v="19"/>
    <s v="Prashant Kayangude"/>
    <s v="CCM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3151.53"/>
    <n v="3151.53"/>
    <n v="3980.8799999999997"/>
    <n v="3151.53"/>
    <n v="3021.57"/>
    <n v="3975.75"/>
    <n v="3180.6"/>
    <n v="3975.75"/>
    <n v="3021.57"/>
    <n v="2862.54"/>
    <n v="3975.75"/>
    <n v="3021.57"/>
    <n v="1"/>
  </r>
  <r>
    <s v="BUD"/>
    <x v="17"/>
    <s v="053595"/>
    <s v="053595744"/>
    <s v="PRASHANT P KAYANGUDE"/>
    <s v="India"/>
    <s v="Pune"/>
    <n v="8"/>
    <n v="41"/>
    <s v="Prashant Kayangude"/>
    <s v="Loyalty"/>
    <s v="GDC Labor"/>
    <x v="0"/>
    <n v="174.6"/>
    <n v="165.87"/>
    <n v="200.79"/>
    <n v="174.6"/>
    <n v="123"/>
    <n v="209.25"/>
    <n v="167.4"/>
    <n v="209.25"/>
    <n v="159.03"/>
    <n v="150.66"/>
    <n v="200.88000000000002"/>
    <n v="159.03"/>
    <m/>
    <n v="7158.5999999999995"/>
    <n v="6800.67"/>
    <n v="8232.39"/>
    <n v="7158.5999999999995"/>
    <n v="5043"/>
    <n v="8579.25"/>
    <n v="6863.4000000000005"/>
    <n v="8579.25"/>
    <n v="6520.2300000000005"/>
    <n v="6177.0599999999995"/>
    <n v="8236.0800000000017"/>
    <n v="6520.2300000000005"/>
    <n v="1"/>
  </r>
  <r>
    <s v="BUD"/>
    <x v="17"/>
    <s v="0D5121"/>
    <s v="0D5121649"/>
    <s v="David Olson"/>
    <s v="Local"/>
    <s v="Canada"/>
    <n v="8"/>
    <n v="132.5"/>
    <s v="Omprakash Yadav"/>
    <s v="GLADES"/>
    <s v="Non GDC Labor"/>
    <x v="1"/>
    <n v="152"/>
    <n v="152"/>
    <n v="192"/>
    <n v="80"/>
    <n v="76"/>
    <n v="100"/>
    <n v="76"/>
    <n v="96"/>
    <n v="76"/>
    <n v="76"/>
    <n v="96"/>
    <n v="76"/>
    <s v="0.5FTE"/>
    <n v="20140"/>
    <n v="20140"/>
    <n v="25440"/>
    <n v="10600"/>
    <n v="10070"/>
    <n v="13250"/>
    <n v="10070"/>
    <n v="12720"/>
    <n v="10070"/>
    <n v="10070"/>
    <n v="12720"/>
    <n v="10070"/>
    <n v="0.5"/>
  </r>
  <r>
    <s v="BUD"/>
    <x v="17"/>
    <s v="0B0719"/>
    <s v="0B0719649"/>
    <s v="Amit Shukla"/>
    <s v="CIC Calgary"/>
    <s v="Canada"/>
    <n v="7"/>
    <n v="95.5"/>
    <s v="Omprakash Yadav"/>
    <s v="UEU Maintenance and Reliability External"/>
    <s v="Non GDC Labor"/>
    <x v="1"/>
    <n v="171"/>
    <n v="171"/>
    <n v="216"/>
    <n v="180"/>
    <n v="171"/>
    <n v="225"/>
    <n v="171"/>
    <n v="216"/>
    <n v="171"/>
    <n v="171"/>
    <n v="216"/>
    <n v="171"/>
    <m/>
    <n v="16330.5"/>
    <n v="16330.5"/>
    <n v="20628"/>
    <n v="17190"/>
    <n v="16330.5"/>
    <n v="21487.5"/>
    <n v="16330.5"/>
    <n v="20628"/>
    <n v="16330.5"/>
    <n v="16330.5"/>
    <n v="20628"/>
    <n v="16330.5"/>
    <n v="1"/>
  </r>
  <r>
    <s v="BUD"/>
    <x v="17"/>
    <s v="03043X"/>
    <s v="03043X744"/>
    <s v="Kallol Baidya"/>
    <s v="India"/>
    <s v="Kolkata"/>
    <s v="7A"/>
    <n v="29.5"/>
    <s v="Omprakash Yadav"/>
    <s v="Digital Programs &amp; IEVC Delivery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4893.165"/>
    <n v="4893.165"/>
    <n v="6180.8399999999992"/>
    <n v="5150.7"/>
    <n v="4691.3850000000002"/>
    <n v="6172.875"/>
    <n v="4938.3"/>
    <n v="6172.875"/>
    <n v="4691.3850000000002"/>
    <n v="4444.47"/>
    <n v="6172.875"/>
    <n v="4691.3850000000002"/>
    <n v="1"/>
  </r>
  <r>
    <s v="BUD"/>
    <x v="17"/>
    <s v="AVU82T"/>
    <s v="AVU82T744"/>
    <s v="Navya Vudugula"/>
    <s v="India"/>
    <s v="Hyderabad"/>
    <s v="6A"/>
    <n v="17"/>
    <s v="Omprakash Yadav"/>
    <s v="Digital Programs &amp; IEVC Delivery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2836.28"/>
    <n v="2836.28"/>
    <n v="3578.3299999999995"/>
    <n v="2836.28"/>
    <n v="2719.32"/>
    <n v="3557.25"/>
    <n v="2845.8"/>
    <n v="3557.25"/>
    <n v="2719.32"/>
    <n v="2592.84"/>
    <n v="3430.77"/>
    <n v="2719.32"/>
    <n v="1"/>
  </r>
  <r>
    <s v="BUD"/>
    <x v="17"/>
    <s v="002DC3"/>
    <s v="002DC3744"/>
    <s v="Apurva Yadav"/>
    <s v="India"/>
    <s v="Pune"/>
    <s v="6B"/>
    <n v="19"/>
    <s v="Omprakash Yadav"/>
    <s v="Digital Programs &amp; IEVC Delivery"/>
    <s v="GDC Labor"/>
    <x v="0"/>
    <n v="174.6"/>
    <n v="165.87"/>
    <n v="200.79"/>
    <n v="174.6"/>
    <n v="159.03"/>
    <n v="207"/>
    <n v="167.4"/>
    <n v="209.25"/>
    <n v="159.03"/>
    <n v="150.66"/>
    <n v="200.88000000000002"/>
    <n v="159.03"/>
    <m/>
    <n v="3317.4"/>
    <n v="3151.53"/>
    <n v="3815.0099999999998"/>
    <n v="3317.4"/>
    <n v="3021.57"/>
    <n v="3933"/>
    <n v="3180.6"/>
    <n v="3975.75"/>
    <n v="3021.57"/>
    <n v="2862.54"/>
    <n v="3816.7200000000003"/>
    <n v="3021.57"/>
    <n v="1"/>
  </r>
  <r>
    <s v="BUD"/>
    <x v="17"/>
    <s v="0018CI"/>
    <s v="0018CI744"/>
    <s v="Samprati Pande"/>
    <s v="India"/>
    <s v="Pune"/>
    <s v="7A"/>
    <n v="29.5"/>
    <s v="Omprakash Yadav"/>
    <s v="RL Engineering Plus External"/>
    <s v="GDC Labor"/>
    <x v="0"/>
    <n v="174.6"/>
    <n v="165.87"/>
    <n v="200.79"/>
    <n v="174.6"/>
    <n v="135"/>
    <n v="126"/>
    <n v="167.4"/>
    <n v="209.25"/>
    <n v="159.03"/>
    <n v="150.66"/>
    <n v="200.88000000000002"/>
    <n v="159.03"/>
    <m/>
    <n v="5150.7"/>
    <n v="4893.165"/>
    <n v="5923.3049999999994"/>
    <n v="5150.7"/>
    <n v="3982.5"/>
    <n v="3717"/>
    <n v="4938.3"/>
    <n v="6172.875"/>
    <n v="4691.3850000000002"/>
    <n v="4444.47"/>
    <n v="5925.9600000000009"/>
    <n v="4691.3850000000002"/>
    <n v="1"/>
  </r>
  <r>
    <s v="BUD"/>
    <x v="17"/>
    <s v="004CNG"/>
    <s v="004CNG744"/>
    <s v="Vivek Anand B"/>
    <s v="India"/>
    <s v="Chennai"/>
    <s v="6B"/>
    <n v="19"/>
    <s v="Omprakash Yadav"/>
    <s v="RL Engineering Plus External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3151.53"/>
    <n v="3151.53"/>
    <n v="3980.8799999999997"/>
    <n v="3317.4"/>
    <n v="3021.57"/>
    <n v="3975.75"/>
    <n v="3180.6"/>
    <n v="3975.75"/>
    <n v="3021.57"/>
    <n v="2862.54"/>
    <n v="3975.75"/>
    <n v="3021.57"/>
    <n v="1"/>
  </r>
  <r>
    <s v="BUD"/>
    <x v="17"/>
    <s v="AVS8SV"/>
    <s v="AVS8SV744"/>
    <s v="Avinash Gautam"/>
    <s v="India"/>
    <s v="Bangalore"/>
    <s v="6B"/>
    <n v="22.5"/>
    <s v="Omprakash Yadav"/>
    <s v="RL Engineering Plus External"/>
    <s v="GDC Labor"/>
    <x v="5"/>
    <n v="166.84"/>
    <n v="166.84"/>
    <n v="210.48999999999998"/>
    <n v="166.84"/>
    <n v="159.96"/>
    <m/>
    <m/>
    <m/>
    <m/>
    <m/>
    <m/>
    <m/>
    <s v="LWD 22May2026. Identify backfill"/>
    <n v="3753.9"/>
    <n v="3753.9"/>
    <n v="4736.0249999999996"/>
    <n v="3753.9"/>
    <n v="3599.1000000000004"/>
    <n v="0"/>
    <n v="0"/>
    <n v="0"/>
    <n v="0"/>
    <n v="0"/>
    <n v="0"/>
    <n v="0"/>
    <n v="0"/>
  </r>
  <r>
    <s v="BUD"/>
    <x v="17"/>
    <s v="AVTHES"/>
    <s v="AVTHES744"/>
    <s v="Gujarathi Mamatha"/>
    <s v="India"/>
    <s v="Hyderabad"/>
    <s v="6B"/>
    <n v="22.5"/>
    <s v="Omprakash Yadav"/>
    <s v="RL Engineering Plus External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3753.9"/>
    <n v="3753.9"/>
    <n v="4736.0249999999996"/>
    <n v="3753.9"/>
    <n v="3599.1000000000004"/>
    <n v="4708.125"/>
    <n v="3766.5"/>
    <n v="4708.125"/>
    <n v="3599.1000000000004"/>
    <n v="3431.7000000000003"/>
    <n v="4540.7250000000004"/>
    <n v="3599.1000000000004"/>
    <n v="1"/>
  </r>
  <r>
    <s v="BUD"/>
    <x v="17"/>
    <s v="002UN8"/>
    <s v="002UN8744"/>
    <s v="Vaishali Saha"/>
    <s v="India"/>
    <s v="Bangalore"/>
    <s v="6B"/>
    <n v="19"/>
    <s v="Omprakash Yadav"/>
    <s v="Digital Programs &amp; IEVC Delivery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3151.53"/>
    <n v="3151.53"/>
    <n v="3980.8799999999997"/>
    <n v="3151.53"/>
    <n v="3021.57"/>
    <n v="3975.75"/>
    <n v="3180.6"/>
    <n v="3975.75"/>
    <n v="3021.57"/>
    <n v="2862.54"/>
    <n v="3975.75"/>
    <n v="3021.57"/>
    <n v="1"/>
  </r>
  <r>
    <s v="BUD"/>
    <x v="17"/>
    <s v="00030Z"/>
    <s v="00030Z744"/>
    <s v="Naga Vyshnavi Vangala"/>
    <s v="India"/>
    <s v="Bangalore"/>
    <s v="6B"/>
    <n v="19"/>
    <s v="Omprakash Yadav"/>
    <s v="RL Engineering Plus External"/>
    <s v="GDC Labor"/>
    <x v="0"/>
    <n v="165.87"/>
    <n v="165.87"/>
    <n v="209.51999999999998"/>
    <n v="165.87"/>
    <n v="159.03"/>
    <n v="198"/>
    <n v="167.4"/>
    <n v="209.25"/>
    <n v="159.03"/>
    <n v="150.66"/>
    <n v="209.25"/>
    <n v="159.03"/>
    <m/>
    <n v="3151.53"/>
    <n v="3151.53"/>
    <n v="3980.8799999999997"/>
    <n v="3151.53"/>
    <n v="3021.57"/>
    <n v="3762"/>
    <n v="3180.6"/>
    <n v="3975.75"/>
    <n v="3021.57"/>
    <n v="2862.54"/>
    <n v="3975.75"/>
    <n v="3021.57"/>
    <n v="1"/>
  </r>
  <r>
    <s v="BUD"/>
    <x v="17"/>
    <s v="0030NT"/>
    <s v="0030NT744"/>
    <s v="Sipra Samanta"/>
    <s v="India"/>
    <s v="Pune"/>
    <s v="7A"/>
    <n v="30.5"/>
    <s v="Omprakash Yadav"/>
    <s v="RL General External"/>
    <s v="GDC Labor"/>
    <x v="0"/>
    <n v="174.6"/>
    <n v="165.87"/>
    <n v="90"/>
    <m/>
    <m/>
    <m/>
    <m/>
    <m/>
    <m/>
    <m/>
    <m/>
    <m/>
    <s v="w/o backfill"/>
    <n v="5325.3"/>
    <n v="5059.0349999999999"/>
    <n v="2745"/>
    <n v="0"/>
    <n v="0"/>
    <n v="0"/>
    <n v="0"/>
    <n v="0"/>
    <n v="0"/>
    <n v="0"/>
    <n v="0"/>
    <n v="0"/>
    <n v="0"/>
  </r>
  <r>
    <s v="BUD"/>
    <x v="17"/>
    <s v="0014PH"/>
    <s v="0014PH744"/>
    <s v="Saraswathi Narayanappa"/>
    <s v="India"/>
    <s v="Bangalore"/>
    <s v="6B"/>
    <n v="19"/>
    <s v="Omprakash Yadav"/>
    <s v="RL General External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3151.53"/>
    <n v="3151.53"/>
    <n v="3980.8799999999997"/>
    <n v="3151.53"/>
    <n v="3021.57"/>
    <n v="3975.75"/>
    <n v="3180.6"/>
    <n v="3975.75"/>
    <n v="3021.57"/>
    <n v="2862.54"/>
    <n v="3975.75"/>
    <n v="3021.57"/>
    <n v="1"/>
  </r>
  <r>
    <s v="BUD"/>
    <x v="17"/>
    <s v="SVDNK4"/>
    <s v="SVDNK4744"/>
    <s v="Vishruthi D"/>
    <s v="India"/>
    <s v="COIMBATORE"/>
    <n v="4"/>
    <n v="9"/>
    <s v="Omprakash Yadav"/>
    <s v="RL General External"/>
    <s v="GDC Labor"/>
    <x v="5"/>
    <n v="166.84"/>
    <n v="166.84"/>
    <n v="126"/>
    <m/>
    <m/>
    <m/>
    <m/>
    <m/>
    <m/>
    <m/>
    <m/>
    <m/>
    <s v="Backfill of Vasantha Yerramareddy"/>
    <n v="1501.56"/>
    <n v="1501.56"/>
    <n v="1134"/>
    <n v="0"/>
    <n v="0"/>
    <n v="0"/>
    <n v="0"/>
    <n v="0"/>
    <n v="0"/>
    <n v="0"/>
    <n v="0"/>
    <n v="0"/>
    <n v="0"/>
  </r>
  <r>
    <s v="BUD"/>
    <x v="17"/>
    <s v="004AY3"/>
    <s v="004AY3744"/>
    <s v="Dudekula Rehana"/>
    <s v="India"/>
    <s v="Bangalore"/>
    <s v="6A"/>
    <n v="17"/>
    <s v="Omprakash Yadav"/>
    <s v="RL General External"/>
    <s v="GDC Labor"/>
    <x v="0"/>
    <m/>
    <m/>
    <n v="209.51999999999998"/>
    <n v="165.87"/>
    <n v="99"/>
    <n v="209.25"/>
    <n v="167.4"/>
    <n v="209.25"/>
    <n v="159.03"/>
    <n v="150.66"/>
    <n v="209.25"/>
    <n v="159.03"/>
    <s v="Backfill of Vishruthi D"/>
    <n v="0"/>
    <n v="0"/>
    <n v="3561.8399999999997"/>
    <n v="2819.79"/>
    <n v="1683"/>
    <n v="3557.25"/>
    <n v="2845.8"/>
    <n v="3557.25"/>
    <n v="2703.51"/>
    <n v="2561.2199999999998"/>
    <n v="3557.25"/>
    <n v="2703.51"/>
    <n v="1"/>
  </r>
  <r>
    <s v="BUD"/>
    <x v="17"/>
    <s v="07934Y"/>
    <s v="07934Y744"/>
    <s v="Mangesh Kharat"/>
    <s v="India"/>
    <s v="Pune"/>
    <s v="7B"/>
    <n v="30.5"/>
    <s v="Omprakash Yadav"/>
    <s v="RSAFH External IB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SVI1HY"/>
    <s v="SVI1HY744"/>
    <s v="Nalamati Renuka Devi"/>
    <s v="India"/>
    <s v="Hyderabad"/>
    <s v="6B"/>
    <n v="22.5"/>
    <s v="Omprakash Yadav"/>
    <s v="RSAFH External IBM"/>
    <s v="GDC Labor"/>
    <x v="5"/>
    <n v="166.84"/>
    <n v="166.84"/>
    <n v="210.48999999999998"/>
    <n v="166.84"/>
    <n v="159.96"/>
    <n v="209.25"/>
    <m/>
    <m/>
    <m/>
    <m/>
    <m/>
    <m/>
    <s v="LWD 26Jun2026"/>
    <n v="3753.9"/>
    <n v="3753.9"/>
    <n v="4736.0249999999996"/>
    <n v="3753.9"/>
    <n v="3599.1000000000004"/>
    <n v="4708.125"/>
    <n v="0"/>
    <n v="0"/>
    <n v="0"/>
    <n v="0"/>
    <n v="0"/>
    <n v="0"/>
    <n v="0"/>
  </r>
  <r>
    <s v="BUD"/>
    <x v="17"/>
    <s v="0063UP"/>
    <s v="0063UP744"/>
    <s v="Hemanth Chandra N"/>
    <s v="India"/>
    <s v="Hyderabad"/>
    <s v="6G"/>
    <n v="14"/>
    <s v="Omprakash Yadav"/>
    <s v="RSAFH External IBM"/>
    <s v="GDC Labor"/>
    <x v="0"/>
    <m/>
    <m/>
    <m/>
    <m/>
    <m/>
    <n v="72"/>
    <n v="167.4"/>
    <n v="209.25"/>
    <n v="159.96"/>
    <n v="152.52000000000001"/>
    <n v="201.81"/>
    <n v="159.96"/>
    <s v="Backfill of Nalamati Renuka Devi"/>
    <n v="0"/>
    <n v="0"/>
    <n v="0"/>
    <n v="0"/>
    <n v="0"/>
    <n v="1008"/>
    <n v="2343.6"/>
    <n v="2929.5"/>
    <n v="2239.44"/>
    <n v="2135.2800000000002"/>
    <n v="2825.34"/>
    <n v="2239.44"/>
    <n v="1"/>
  </r>
  <r>
    <s v="BUD"/>
    <x v="17"/>
    <s v="000OWH"/>
    <s v="000OWH744"/>
    <s v="Vibhor Singh Parmar"/>
    <s v="India"/>
    <s v="Pune"/>
    <s v="7A"/>
    <n v="29.5"/>
    <s v="Omprakash Yadav"/>
    <s v="RSAFH External IB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0I3N"/>
    <s v="000I3N744"/>
    <s v="Vallampati Sri Priya"/>
    <s v="India"/>
    <s v="Pune"/>
    <s v="6B"/>
    <n v="19"/>
    <s v="Omprakash Yadav"/>
    <s v="RSAFH External IBM"/>
    <s v="GDC Labor"/>
    <x v="0"/>
    <m/>
    <m/>
    <m/>
    <m/>
    <n v="159.03"/>
    <n v="209.25"/>
    <n v="167.4"/>
    <n v="209.25"/>
    <n v="159.03"/>
    <n v="150.66"/>
    <n v="200.88000000000002"/>
    <n v="159.03"/>
    <s v="New addition - PVT"/>
    <n v="0"/>
    <n v="0"/>
    <n v="0"/>
    <n v="0"/>
    <n v="3021.57"/>
    <n v="3975.75"/>
    <n v="3180.6"/>
    <n v="3975.75"/>
    <n v="3021.57"/>
    <n v="2862.54"/>
    <n v="3816.7200000000003"/>
    <n v="3021.57"/>
    <n v="1"/>
  </r>
  <r>
    <s v="BUD"/>
    <x v="17"/>
    <s v="01551I"/>
    <s v="01551I744"/>
    <s v="Sandeep S Kandoliya"/>
    <s v="India"/>
    <s v="Pune"/>
    <s v="7B"/>
    <n v="30.5"/>
    <s v="Omprakash Yadav"/>
    <s v="GLADE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SVFSVX"/>
    <s v="SVFSVX744"/>
    <s v="Gayathri B"/>
    <s v="India"/>
    <s v="Hyderabad"/>
    <s v="6A"/>
    <n v="17"/>
    <s v="Omprakash Yadav"/>
    <s v="GLADES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2836.28"/>
    <n v="2836.28"/>
    <n v="3578.3299999999995"/>
    <n v="2836.28"/>
    <n v="2719.32"/>
    <n v="3557.25"/>
    <n v="2845.8"/>
    <n v="3557.25"/>
    <n v="2719.32"/>
    <n v="2592.84"/>
    <n v="3430.77"/>
    <n v="2719.32"/>
    <n v="1"/>
  </r>
  <r>
    <s v="BUD"/>
    <x v="17"/>
    <s v="0029IW"/>
    <s v="0029IW744"/>
    <s v="Asha Jadhav"/>
    <s v="India"/>
    <s v="Hyderabad"/>
    <s v="6B"/>
    <n v="19"/>
    <s v="Omprakash Yadav"/>
    <s v="GLADE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3151.53"/>
    <n v="3151.53"/>
    <n v="3980.8799999999997"/>
    <n v="3317.4"/>
    <n v="3021.57"/>
    <n v="3975.75"/>
    <n v="3180.6"/>
    <n v="3975.75"/>
    <n v="3021.57"/>
    <n v="2862.54"/>
    <n v="3975.75"/>
    <n v="3021.57"/>
    <n v="1"/>
  </r>
  <r>
    <s v="BUD"/>
    <x v="17"/>
    <s v="SVIC7H"/>
    <s v="SVIC7H744"/>
    <s v="Tejas Rajendra Kute"/>
    <s v="India"/>
    <s v="Pune"/>
    <n v="4"/>
    <n v="9"/>
    <s v="Omprakash Yadav"/>
    <s v="GLADES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1501.56"/>
    <n v="1501.56"/>
    <n v="1894.4099999999999"/>
    <n v="1501.56"/>
    <n v="1439.64"/>
    <n v="1883.25"/>
    <n v="1506.6000000000001"/>
    <n v="1883.25"/>
    <n v="1439.64"/>
    <n v="1372.68"/>
    <n v="1816.29"/>
    <n v="1439.64"/>
    <n v="1"/>
  </r>
  <r>
    <s v="BUD"/>
    <x v="17"/>
    <s v="SVAGP5"/>
    <s v="SVAGP5744"/>
    <s v="R Srinivasan"/>
    <s v="India"/>
    <s v="COIMBATORE"/>
    <n v="4"/>
    <n v="9"/>
    <s v="Omprakash Yadav"/>
    <s v="GLADES"/>
    <s v="GDC Labor"/>
    <x v="5"/>
    <n v="166.84"/>
    <n v="166.84"/>
    <n v="72"/>
    <m/>
    <m/>
    <m/>
    <m/>
    <m/>
    <m/>
    <m/>
    <m/>
    <m/>
    <m/>
    <n v="1501.56"/>
    <n v="1501.56"/>
    <n v="648"/>
    <n v="0"/>
    <n v="0"/>
    <n v="0"/>
    <n v="0"/>
    <n v="0"/>
    <n v="0"/>
    <n v="0"/>
    <n v="0"/>
    <n v="0"/>
    <n v="0"/>
  </r>
  <r>
    <s v="BUD"/>
    <x v="17"/>
    <s v="001ZA4"/>
    <s v="001ZA4744"/>
    <s v="Surbhi Choubey "/>
    <s v="India"/>
    <s v="Pune"/>
    <s v="6A"/>
    <n v="14"/>
    <s v="Omprakash Yadav"/>
    <s v="GLADES"/>
    <s v="GDC Labor"/>
    <x v="0"/>
    <m/>
    <m/>
    <n v="200.79"/>
    <n v="174.6"/>
    <n v="159.03"/>
    <n v="209.25"/>
    <n v="167.4"/>
    <n v="209.25"/>
    <n v="159.03"/>
    <n v="150.66"/>
    <n v="200.88000000000002"/>
    <n v="159.03"/>
    <s v="Backfill of R Srinivasan"/>
    <n v="0"/>
    <n v="0"/>
    <n v="2811.06"/>
    <n v="2444.4"/>
    <n v="2226.42"/>
    <n v="2929.5"/>
    <n v="2343.6"/>
    <n v="2929.5"/>
    <n v="2226.42"/>
    <n v="2109.2399999999998"/>
    <n v="2812.32"/>
    <n v="2226.42"/>
    <n v="1"/>
  </r>
  <r>
    <s v="BUD"/>
    <x v="17"/>
    <s v="07000G"/>
    <s v="07000G744"/>
    <s v="Pragati Singh"/>
    <s v="India"/>
    <s v="Pune"/>
    <s v="7A"/>
    <n v="29.5"/>
    <s v="Omprakash Yadav"/>
    <s v="ADLP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43FT"/>
    <s v="0043FT744"/>
    <s v="Manoj Kumar V V"/>
    <s v="India"/>
    <s v="Chennai"/>
    <s v="6B"/>
    <n v="19"/>
    <s v="Omprakash Yadav"/>
    <s v="ADLP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3151.53"/>
    <n v="3151.53"/>
    <n v="3980.8799999999997"/>
    <n v="3317.4"/>
    <n v="3021.57"/>
    <n v="3975.75"/>
    <n v="3180.6"/>
    <n v="3975.75"/>
    <n v="3021.57"/>
    <n v="2862.54"/>
    <n v="3975.75"/>
    <n v="3021.57"/>
    <n v="1"/>
  </r>
  <r>
    <s v="BUD"/>
    <x v="17"/>
    <s v="005VP7"/>
    <s v="005VP7744"/>
    <s v="Sagar Kumbhar"/>
    <s v="India"/>
    <s v="Pune"/>
    <s v="6G"/>
    <n v="14"/>
    <s v="Omprakash Yadav"/>
    <s v="ADLP"/>
    <s v="GDC Labor"/>
    <x v="0"/>
    <m/>
    <n v="120.87"/>
    <n v="200.79"/>
    <n v="174.6"/>
    <n v="159.03"/>
    <n v="209.25"/>
    <n v="167.4"/>
    <n v="209.25"/>
    <n v="159.03"/>
    <n v="150.66"/>
    <n v="200.88000000000002"/>
    <n v="159.03"/>
    <s v="New addition "/>
    <n v="0"/>
    <n v="1692.18"/>
    <n v="2811.06"/>
    <n v="2444.4"/>
    <n v="2226.42"/>
    <n v="2929.5"/>
    <n v="2343.6"/>
    <n v="2929.5"/>
    <n v="2226.42"/>
    <n v="2109.2399999999998"/>
    <n v="2812.32"/>
    <n v="2226.42"/>
    <n v="1"/>
  </r>
  <r>
    <s v="BUD"/>
    <x v="17"/>
    <s v="05310I"/>
    <s v="05310I744"/>
    <s v="Prabin Pattnaik"/>
    <s v="India"/>
    <s v="Pune"/>
    <s v="7B"/>
    <n v="30.5"/>
    <s v="Omprakash Yadav"/>
    <s v="Field Logistic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001ZPH"/>
    <s v="001ZPH744"/>
    <s v="GAYATHRI MEKALA"/>
    <s v="India"/>
    <s v="Bangalore"/>
    <s v="6B"/>
    <n v="19"/>
    <s v="Omprakash Yadav"/>
    <s v="Field Logistics"/>
    <s v="GDC Labor"/>
    <x v="0"/>
    <n v="165.87"/>
    <n v="165.87"/>
    <n v="209.51999999999998"/>
    <n v="165.87"/>
    <n v="153"/>
    <n v="209.25"/>
    <n v="167.4"/>
    <n v="209.25"/>
    <n v="159.03"/>
    <n v="150.66"/>
    <n v="209.25"/>
    <n v="159.03"/>
    <m/>
    <n v="3151.53"/>
    <n v="3151.53"/>
    <n v="3980.8799999999997"/>
    <n v="3151.53"/>
    <n v="2907"/>
    <n v="3975.75"/>
    <n v="3180.6"/>
    <n v="3975.75"/>
    <n v="3021.57"/>
    <n v="2862.54"/>
    <n v="3975.75"/>
    <n v="3021.57"/>
    <n v="1"/>
  </r>
  <r>
    <s v="BUD"/>
    <x v="17"/>
    <s v="AVRKMC"/>
    <s v="AVRKMC744"/>
    <s v="Siri Chandana Madishetti"/>
    <s v="India"/>
    <s v="Hyderabad"/>
    <s v="6B"/>
    <n v="22.5"/>
    <s v="Omprakash Yadav"/>
    <s v="SaaS Support"/>
    <s v="GDC Labor"/>
    <x v="5"/>
    <n v="166.84"/>
    <n v="166.84"/>
    <n v="210.48999999999998"/>
    <n v="166.84"/>
    <n v="159.96"/>
    <n v="189"/>
    <n v="167.4"/>
    <n v="209.25"/>
    <n v="159.96"/>
    <n v="152.52000000000001"/>
    <n v="201.81"/>
    <n v="159.96"/>
    <m/>
    <n v="3753.9"/>
    <n v="3753.9"/>
    <n v="4736.0249999999996"/>
    <n v="3753.9"/>
    <n v="3599.1000000000004"/>
    <n v="4252.5"/>
    <n v="3766.5"/>
    <n v="4708.125"/>
    <n v="3599.1000000000004"/>
    <n v="3431.7000000000003"/>
    <n v="4540.7250000000004"/>
    <n v="3599.1000000000004"/>
    <n v="1"/>
  </r>
  <r>
    <s v="BUD"/>
    <x v="17"/>
    <s v="0028MP"/>
    <s v="0028MP744"/>
    <s v="Gunda Sai Divya"/>
    <s v="India"/>
    <s v="Hyderabad"/>
    <s v="6B"/>
    <n v="19"/>
    <s v="Omprakash Yadav"/>
    <s v="SaaS Support"/>
    <s v="GDC Labor"/>
    <x v="0"/>
    <n v="165.87"/>
    <n v="165.87"/>
    <n v="209.51999999999998"/>
    <n v="174.6"/>
    <n v="162"/>
    <n v="209.25"/>
    <n v="167.4"/>
    <n v="209.25"/>
    <n v="159.03"/>
    <n v="150.66"/>
    <n v="209.25"/>
    <n v="159.03"/>
    <m/>
    <n v="3151.53"/>
    <n v="3151.53"/>
    <n v="3980.8799999999997"/>
    <n v="3317.4"/>
    <n v="3078"/>
    <n v="3975.75"/>
    <n v="3180.6"/>
    <n v="3975.75"/>
    <n v="3021.57"/>
    <n v="2862.54"/>
    <n v="3975.75"/>
    <n v="3021.57"/>
    <n v="1"/>
  </r>
  <r>
    <s v="BUD"/>
    <x v="17"/>
    <s v="0017T7"/>
    <s v="0017T7744"/>
    <s v="Sanjay Chinta"/>
    <s v="India"/>
    <s v="Pune"/>
    <s v="7A"/>
    <n v="29.5"/>
    <s v="Omprakash Yadav"/>
    <s v="UEU Maintenance and Reliability External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3VPH"/>
    <s v="003VPH744"/>
    <s v="Saharsh Kumar"/>
    <s v="India"/>
    <s v="Noida"/>
    <s v="6A"/>
    <n v="17"/>
    <s v="Omprakash Yadav"/>
    <s v="UEU Maintenance and Reliability External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2819.79"/>
    <n v="2819.79"/>
    <n v="3561.8399999999997"/>
    <n v="2968.2"/>
    <n v="2703.51"/>
    <n v="3557.25"/>
    <n v="2845.8"/>
    <n v="3557.25"/>
    <n v="2703.51"/>
    <n v="2561.2199999999998"/>
    <n v="3557.25"/>
    <n v="2703.51"/>
    <n v="1"/>
  </r>
  <r>
    <s v="BUD"/>
    <x v="17"/>
    <s v="04319Q"/>
    <s v="04319Q744"/>
    <s v="Ballita Mishra"/>
    <s v="India"/>
    <s v="Pune"/>
    <s v="7A"/>
    <n v="29.5"/>
    <s v="Omprakash Yadav"/>
    <s v="UEU Operate Assets External"/>
    <s v="GDC Labor"/>
    <x v="0"/>
    <n v="174.6"/>
    <n v="165.87"/>
    <n v="200.79"/>
    <n v="174.6"/>
    <n v="153"/>
    <n v="209.25"/>
    <n v="167.4"/>
    <n v="209.25"/>
    <n v="159.03"/>
    <n v="150.66"/>
    <n v="200.88000000000002"/>
    <n v="159.03"/>
    <m/>
    <n v="5150.7"/>
    <n v="4893.165"/>
    <n v="5923.3049999999994"/>
    <n v="5150.7"/>
    <n v="4513.5"/>
    <n v="6172.875"/>
    <n v="4938.3"/>
    <n v="6172.875"/>
    <n v="4691.3850000000002"/>
    <n v="4444.47"/>
    <n v="5925.9600000000009"/>
    <n v="4691.3850000000002"/>
    <n v="1"/>
  </r>
  <r>
    <s v="BUD"/>
    <x v="17"/>
    <s v="06529U"/>
    <s v="06529U744"/>
    <s v="Rukaiyya B Shaikh"/>
    <s v="India"/>
    <s v="Pune"/>
    <s v="6B"/>
    <n v="19"/>
    <s v="Omprakash Yadav"/>
    <s v="UEU Operate Assets External"/>
    <s v="GDC Labor"/>
    <x v="0"/>
    <n v="131"/>
    <n v="125"/>
    <n v="151"/>
    <n v="131"/>
    <n v="111"/>
    <n v="157"/>
    <n v="131"/>
    <n v="164"/>
    <n v="125"/>
    <n v="118"/>
    <n v="158"/>
    <n v="125"/>
    <s v="0.25FTE moved to Downstream S&amp;M"/>
    <n v="2489"/>
    <n v="2375"/>
    <n v="2869"/>
    <n v="2489"/>
    <n v="2109"/>
    <n v="2983"/>
    <n v="2489"/>
    <n v="3116"/>
    <n v="2375"/>
    <n v="2242"/>
    <n v="3002"/>
    <n v="2375"/>
    <n v="0.75"/>
  </r>
  <r>
    <s v="BUD"/>
    <x v="17"/>
    <s v="06529U"/>
    <s v="06529U744"/>
    <s v="Rukaiyya B Shaikh"/>
    <s v="India"/>
    <s v="Pune"/>
    <s v="6B"/>
    <n v="19"/>
    <s v="Prashant Kayangude"/>
    <s v="Downstream S&amp;M"/>
    <s v="GDC Labor"/>
    <x v="0"/>
    <n v="44"/>
    <n v="42"/>
    <n v="51"/>
    <n v="44"/>
    <n v="34"/>
    <n v="53"/>
    <n v="44"/>
    <n v="55"/>
    <n v="42"/>
    <n v="40"/>
    <n v="53"/>
    <n v="42"/>
    <s v="0.25FTE moved to Downstream S&amp;M"/>
    <n v="836"/>
    <n v="798"/>
    <n v="969"/>
    <n v="836"/>
    <n v="646"/>
    <n v="1007"/>
    <n v="836"/>
    <n v="1045"/>
    <n v="798"/>
    <n v="760"/>
    <n v="1007"/>
    <n v="798"/>
    <n v="0.25"/>
  </r>
  <r>
    <s v="BUD"/>
    <x v="17"/>
    <s v="004ASP"/>
    <s v="004ASP744"/>
    <s v="Venkata Surya Guru Keerthika Kintali"/>
    <s v="India"/>
    <s v="Hyderabad"/>
    <s v="6A"/>
    <n v="17"/>
    <s v="Omprakash Yadav"/>
    <s v="UEU Operate Assets External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2819.79"/>
    <n v="2819.79"/>
    <n v="3561.8399999999997"/>
    <n v="2968.2"/>
    <n v="2703.51"/>
    <n v="3557.25"/>
    <n v="2845.8"/>
    <n v="3557.25"/>
    <n v="2703.51"/>
    <n v="2561.2199999999998"/>
    <n v="3557.25"/>
    <n v="2703.51"/>
    <n v="1"/>
  </r>
  <r>
    <s v="BUD"/>
    <x v="17"/>
    <s v="002HJI"/>
    <s v="002HJI744"/>
    <s v="PRIYANKA DEVNARAYAN JAISWAL"/>
    <s v="India"/>
    <s v="Pune"/>
    <s v="6A"/>
    <n v="17"/>
    <s v="Omprakash Yadav"/>
    <s v="UEU Operate Assets External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2968.2"/>
    <n v="2819.79"/>
    <n v="3413.43"/>
    <n v="2968.2"/>
    <n v="2703.51"/>
    <n v="3557.25"/>
    <n v="2845.8"/>
    <n v="3557.25"/>
    <n v="2703.51"/>
    <n v="2561.2199999999998"/>
    <n v="3414.9600000000005"/>
    <n v="2703.51"/>
    <n v="1"/>
  </r>
  <r>
    <s v="BUD"/>
    <x v="17"/>
    <s v="00665F"/>
    <s v="00665F744"/>
    <s v="Murali Mohan"/>
    <s v="India"/>
    <s v="Hyderabad"/>
    <s v="7B"/>
    <n v="30.5"/>
    <s v="Omprakash Yadav"/>
    <s v="UEU Operate Assets External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5059.0349999999999"/>
    <n v="5059.0349999999999"/>
    <n v="6390.36"/>
    <n v="5325.3"/>
    <n v="4850.415"/>
    <n v="6382.125"/>
    <n v="5105.7"/>
    <n v="6382.125"/>
    <n v="4850.415"/>
    <n v="4595.13"/>
    <n v="6382.125"/>
    <n v="4850.415"/>
    <n v="1"/>
  </r>
  <r>
    <s v="BUD"/>
    <x v="17"/>
    <s v="0010VW"/>
    <s v="0010VW744"/>
    <s v="Shamini Ranga"/>
    <s v="India"/>
    <s v="Hyderabad"/>
    <s v="6B"/>
    <n v="19"/>
    <s v="Omprakash Yadav"/>
    <s v="UEU Optimize Assets External"/>
    <s v="GDC Labor"/>
    <x v="0"/>
    <n v="165.87"/>
    <n v="165.87"/>
    <n v="209.51999999999998"/>
    <n v="174.6"/>
    <n v="159.03"/>
    <n v="189"/>
    <n v="167.4"/>
    <n v="209.25"/>
    <n v="159.03"/>
    <n v="150.66"/>
    <n v="209.25"/>
    <n v="159.03"/>
    <m/>
    <n v="3151.53"/>
    <n v="3151.53"/>
    <n v="3980.8799999999997"/>
    <n v="3317.4"/>
    <n v="3021.57"/>
    <n v="3591"/>
    <n v="3180.6"/>
    <n v="3975.75"/>
    <n v="3021.57"/>
    <n v="2862.54"/>
    <n v="3975.75"/>
    <n v="3021.57"/>
    <n v="1"/>
  </r>
  <r>
    <s v="BUD"/>
    <x v="17"/>
    <s v="002S3O"/>
    <s v="002S3O744"/>
    <s v="Ganesh Mali"/>
    <s v="India"/>
    <s v="Pune"/>
    <s v="7A"/>
    <n v="29.5"/>
    <s v="Omprakash Yadav"/>
    <s v="UEU Optimize Assets External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4JXM"/>
    <s v="004JXM744"/>
    <s v="Siddhartha Mukherjee "/>
    <s v="India"/>
    <s v="Kolkata"/>
    <s v="7B"/>
    <n v="30.5"/>
    <s v="Omprakash Yadav"/>
    <s v="Enterprise-Middleware"/>
    <s v="GDC Labor"/>
    <x v="0"/>
    <n v="125"/>
    <n v="125"/>
    <n v="158"/>
    <n v="125"/>
    <n v="125"/>
    <n v="157"/>
    <n v="131"/>
    <n v="164"/>
    <n v="125"/>
    <n v="118"/>
    <n v="164"/>
    <n v="125"/>
    <s v="0.25FTE moved to Downstream S&amp;M"/>
    <n v="3812.5"/>
    <n v="3812.5"/>
    <n v="4819"/>
    <n v="3812.5"/>
    <n v="3812.5"/>
    <n v="4788.5"/>
    <n v="3995.5"/>
    <n v="5002"/>
    <n v="3812.5"/>
    <n v="3599"/>
    <n v="5002"/>
    <n v="3812.5"/>
    <n v="0.75"/>
  </r>
  <r>
    <s v="BUD"/>
    <x v="17"/>
    <s v="004JXM"/>
    <s v="004JXM744"/>
    <s v="Siddhartha Mukherjee "/>
    <s v="India"/>
    <s v="Kolkata"/>
    <s v="7B"/>
    <n v="30.5"/>
    <s v="Prashant Kayangude"/>
    <s v="Downstream S&amp;M"/>
    <s v="GDC Labor"/>
    <x v="0"/>
    <n v="42"/>
    <n v="42"/>
    <n v="53"/>
    <n v="42"/>
    <n v="42"/>
    <n v="53"/>
    <n v="44"/>
    <n v="55"/>
    <n v="42"/>
    <n v="40"/>
    <n v="55"/>
    <n v="42"/>
    <s v="0.25FTE moved to Downstream S&amp;M"/>
    <n v="1281"/>
    <n v="1281"/>
    <n v="1616.5"/>
    <n v="1281"/>
    <n v="1281"/>
    <n v="1616.5"/>
    <n v="1342"/>
    <n v="1677.5"/>
    <n v="1281"/>
    <n v="1220"/>
    <n v="1677.5"/>
    <n v="1281"/>
    <n v="0.25"/>
  </r>
  <r>
    <s v="BUD"/>
    <x v="17"/>
    <s v="03810B"/>
    <s v="03810B744"/>
    <s v="Santosh S. Khadke"/>
    <s v="India"/>
    <s v="Pune"/>
    <s v="7B"/>
    <n v="30.5"/>
    <s v="Omprakash Yadav"/>
    <s v="Enterprise - EH&amp;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004ASG"/>
    <s v="004ASG744"/>
    <s v="Modulla Sai Suhasini"/>
    <s v="India"/>
    <s v="Hyderabad"/>
    <s v="6A"/>
    <n v="17"/>
    <s v="Omprakash Yadav"/>
    <s v="Enterprise - EH&amp;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2819.79"/>
    <n v="2819.79"/>
    <n v="3561.8399999999997"/>
    <n v="2968.2"/>
    <n v="2703.51"/>
    <n v="3557.25"/>
    <n v="2845.8"/>
    <n v="3557.25"/>
    <n v="2703.51"/>
    <n v="2561.2199999999998"/>
    <n v="3557.25"/>
    <n v="2703.51"/>
    <n v="1"/>
  </r>
  <r>
    <s v="BUD"/>
    <x v="17"/>
    <s v="0022S2"/>
    <s v="0022S2744"/>
    <s v="Samrudhi Molawade"/>
    <s v="India"/>
    <s v="Pune"/>
    <s v="6B"/>
    <n v="19"/>
    <s v="Omprakash Yadav"/>
    <s v="Enterprise - EH&amp;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3317.4"/>
    <n v="3151.53"/>
    <n v="3815.0099999999998"/>
    <n v="3317.4"/>
    <n v="3021.57"/>
    <n v="3975.75"/>
    <n v="3180.6"/>
    <n v="3975.75"/>
    <n v="3021.57"/>
    <n v="2862.54"/>
    <n v="3816.7200000000003"/>
    <n v="3021.57"/>
    <n v="1"/>
  </r>
  <r>
    <s v="BUD"/>
    <x v="17"/>
    <s v="00223T"/>
    <s v="00223T744"/>
    <s v="Surya Teja Pasupula"/>
    <s v="India"/>
    <s v="Hyderabad"/>
    <s v="6B"/>
    <n v="19"/>
    <s v="Omprakash Yadav"/>
    <s v="Enterprise - EH&amp;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3151.53"/>
    <n v="3151.53"/>
    <n v="3980.8799999999997"/>
    <n v="3317.4"/>
    <n v="3021.57"/>
    <n v="3975.75"/>
    <n v="3180.6"/>
    <n v="3975.75"/>
    <n v="3021.57"/>
    <n v="2862.54"/>
    <n v="3975.75"/>
    <n v="3021.57"/>
    <n v="1"/>
  </r>
  <r>
    <s v="BUD"/>
    <x v="17"/>
    <s v="004D7O"/>
    <s v="004D7O744"/>
    <s v="Muthineni Divya"/>
    <s v="India"/>
    <s v="Hyderabad"/>
    <s v="6A"/>
    <n v="17"/>
    <s v="Omprakash Yadav"/>
    <s v="Enterprise - EH&amp;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2819.79"/>
    <n v="2819.79"/>
    <n v="3561.8399999999997"/>
    <n v="2968.2"/>
    <n v="2703.51"/>
    <n v="3557.25"/>
    <n v="2845.8"/>
    <n v="3557.25"/>
    <n v="2703.51"/>
    <n v="2561.2199999999998"/>
    <n v="3557.25"/>
    <n v="2703.51"/>
    <n v="1"/>
  </r>
  <r>
    <s v="BUD"/>
    <x v="17"/>
    <s v="000HFK"/>
    <s v="000HFK744"/>
    <s v="Susanta Gahan"/>
    <s v="India"/>
    <s v="Pune"/>
    <s v="7B"/>
    <n v="30.5"/>
    <s v="Omprakash Yadav"/>
    <s v="Corporate EH&amp;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AVPSPM"/>
    <s v="AVPSPM744"/>
    <s v="Sasmitha Prusty"/>
    <s v="India"/>
    <s v="Pune"/>
    <s v="6B"/>
    <n v="22.5"/>
    <s v="Omprakash Yadav"/>
    <s v="Corporate EH&amp;S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m/>
    <n v="3753.9"/>
    <n v="3753.9"/>
    <n v="4736.0249999999996"/>
    <n v="3753.9"/>
    <n v="3599.1000000000004"/>
    <n v="4708.125"/>
    <n v="3766.5"/>
    <n v="4708.125"/>
    <n v="3599.1000000000004"/>
    <n v="3431.7000000000003"/>
    <n v="4540.7250000000004"/>
    <n v="3599.1000000000004"/>
    <n v="1"/>
  </r>
  <r>
    <s v="BUD"/>
    <x v="17"/>
    <s v="0084C4"/>
    <s v="0084C4744"/>
    <s v="Raja S Bhadouriya"/>
    <s v="India"/>
    <s v="Noida"/>
    <s v="7A"/>
    <n v="29.5"/>
    <s v="Omprakash Yadav"/>
    <s v="Corporate EH&amp;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4893.165"/>
    <n v="4893.165"/>
    <n v="6180.8399999999992"/>
    <n v="5150.7"/>
    <n v="4691.3850000000002"/>
    <n v="6172.875"/>
    <n v="4938.3"/>
    <n v="6172.875"/>
    <n v="4691.3850000000002"/>
    <n v="4444.47"/>
    <n v="6172.875"/>
    <n v="4691.3850000000002"/>
    <n v="1"/>
  </r>
  <r>
    <s v="BUD"/>
    <x v="17"/>
    <s v="0652B7"/>
    <s v="0652B7744"/>
    <s v="Pragati Mane"/>
    <s v="India"/>
    <s v="Pune"/>
    <s v="6B"/>
    <n v="19"/>
    <s v="Omprakash Yadav"/>
    <s v="Corporate EH&amp;S"/>
    <s v="GDC Labor"/>
    <x v="0"/>
    <n v="174.6"/>
    <n v="165.87"/>
    <n v="200.79"/>
    <n v="174.6"/>
    <n v="153"/>
    <n v="209.25"/>
    <n v="167.4"/>
    <n v="209.25"/>
    <n v="159.03"/>
    <n v="150.66"/>
    <n v="200.88000000000002"/>
    <n v="159.03"/>
    <m/>
    <n v="3317.4"/>
    <n v="3151.53"/>
    <n v="3815.0099999999998"/>
    <n v="3317.4"/>
    <n v="2907"/>
    <n v="3975.75"/>
    <n v="3180.6"/>
    <n v="3975.75"/>
    <n v="3021.57"/>
    <n v="2862.54"/>
    <n v="3816.7200000000003"/>
    <n v="3021.57"/>
    <n v="1"/>
  </r>
  <r>
    <s v="BUD"/>
    <x v="17"/>
    <s v="003ODR"/>
    <s v="003ODR744"/>
    <s v="DASARI NAGA GOPALA KRISHNA"/>
    <s v="India"/>
    <s v="Hyderabad"/>
    <s v="6A"/>
    <n v="17"/>
    <s v="Omprakash Yadav"/>
    <s v="Corporate EH&amp;S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2819.79"/>
    <n v="2819.79"/>
    <n v="3561.8399999999997"/>
    <n v="2968.2"/>
    <n v="2703.51"/>
    <n v="3557.25"/>
    <n v="2845.8"/>
    <n v="3557.25"/>
    <n v="2703.51"/>
    <n v="2561.2199999999998"/>
    <n v="3557.25"/>
    <n v="2703.51"/>
    <n v="1"/>
  </r>
  <r>
    <s v="BUD"/>
    <x v="17"/>
    <s v="005LPU"/>
    <s v="005LPU744"/>
    <s v="Srushti Shindkar"/>
    <s v="India"/>
    <s v="Pune"/>
    <s v="6G"/>
    <n v="17"/>
    <s v="Omprakash Yadav"/>
    <s v="Corporate EH&amp;S"/>
    <s v="GDC Labor"/>
    <x v="0"/>
    <n v="174.6"/>
    <n v="165.87"/>
    <n v="200.79"/>
    <n v="174.6"/>
    <n v="159.03"/>
    <n v="54"/>
    <m/>
    <m/>
    <m/>
    <m/>
    <m/>
    <m/>
    <s v="LWD 12Jun026"/>
    <n v="2968.2"/>
    <n v="2819.79"/>
    <n v="3413.43"/>
    <n v="2968.2"/>
    <n v="2703.51"/>
    <n v="918"/>
    <n v="0"/>
    <n v="0"/>
    <n v="0"/>
    <n v="0"/>
    <n v="0"/>
    <n v="0"/>
    <n v="0"/>
  </r>
  <r>
    <s v="BUD"/>
    <x v="17"/>
    <s v="005ZG1"/>
    <s v="005ZG1744"/>
    <s v="Yogishwar N S"/>
    <s v="India"/>
    <s v="Pune"/>
    <s v="6G"/>
    <n v="14"/>
    <s v="Omprakash Yadav"/>
    <s v="Corporate EH&amp;S"/>
    <s v="GDC Labor"/>
    <x v="0"/>
    <m/>
    <m/>
    <m/>
    <m/>
    <m/>
    <n v="171"/>
    <n v="167.4"/>
    <n v="209.25"/>
    <n v="159.03"/>
    <n v="150.66"/>
    <n v="200.88000000000002"/>
    <n v="159.03"/>
    <s v="Backfill of Srushti Shindkar"/>
    <n v="0"/>
    <n v="0"/>
    <n v="0"/>
    <n v="0"/>
    <n v="0"/>
    <n v="2394"/>
    <n v="2343.6"/>
    <n v="2929.5"/>
    <n v="2226.42"/>
    <n v="2109.2399999999998"/>
    <n v="2812.32"/>
    <n v="2226.42"/>
    <n v="1"/>
  </r>
  <r>
    <s v="BUD"/>
    <x v="17"/>
    <s v="005SLA"/>
    <s v="005SLA744"/>
    <s v="Dindy Nikesh Kumar"/>
    <s v="India"/>
    <s v="Pune"/>
    <s v="6G"/>
    <n v="14"/>
    <s v="Omprakash Yadav"/>
    <s v="Corporate EH&amp;S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2444.4"/>
    <n v="2322.1800000000003"/>
    <n v="2811.06"/>
    <n v="2444.4"/>
    <n v="2226.42"/>
    <n v="2929.5"/>
    <n v="2343.6"/>
    <n v="2929.5"/>
    <n v="2226.42"/>
    <n v="2109.2399999999998"/>
    <n v="2812.32"/>
    <n v="2226.42"/>
    <n v="1"/>
  </r>
  <r>
    <s v="BUD"/>
    <x v="17"/>
    <s v="0011SF"/>
    <s v="0011SF744"/>
    <s v="Nishant."/>
    <s v="India"/>
    <s v="Bangalore"/>
    <s v="6B"/>
    <n v="19"/>
    <s v="Omprakash Yadav"/>
    <s v="Corporate Finance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3151.53"/>
    <n v="3151.53"/>
    <n v="3980.8799999999997"/>
    <n v="3151.53"/>
    <n v="3021.57"/>
    <n v="3975.75"/>
    <n v="3180.6"/>
    <n v="3975.75"/>
    <n v="3021.57"/>
    <n v="2862.54"/>
    <n v="3975.75"/>
    <n v="3021.57"/>
    <n v="1"/>
  </r>
  <r>
    <s v="BUD"/>
    <x v="17"/>
    <s v="003SS8"/>
    <s v="003SS8744"/>
    <s v="Sakheti Narayana"/>
    <s v="India"/>
    <s v="Hyderabad"/>
    <s v="6A"/>
    <n v="17"/>
    <s v="Omprakash Yadav"/>
    <s v="Corporate Finance"/>
    <s v="GDC Labor"/>
    <x v="0"/>
    <n v="165.87"/>
    <n v="165.87"/>
    <n v="209.51999999999998"/>
    <n v="174.6"/>
    <n v="159.03"/>
    <n v="189"/>
    <n v="167.4"/>
    <n v="209.25"/>
    <n v="159.03"/>
    <n v="150.66"/>
    <n v="209.25"/>
    <n v="159.03"/>
    <m/>
    <n v="2819.79"/>
    <n v="2819.79"/>
    <n v="3561.8399999999997"/>
    <n v="2968.2"/>
    <n v="2703.51"/>
    <n v="3213"/>
    <n v="2845.8"/>
    <n v="3557.25"/>
    <n v="2703.51"/>
    <n v="2561.2199999999998"/>
    <n v="3557.25"/>
    <n v="2703.51"/>
    <n v="1"/>
  </r>
  <r>
    <s v="BUD"/>
    <x v="17"/>
    <s v="002AJ4"/>
    <s v="002AJ4744"/>
    <s v="Tejaswini Bhukan"/>
    <s v="India"/>
    <s v="Pune"/>
    <s v="6B"/>
    <n v="19"/>
    <s v="Omprakash Yadav"/>
    <s v="Corporate Finance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3317.4"/>
    <n v="3151.53"/>
    <n v="3815.0099999999998"/>
    <n v="3317.4"/>
    <n v="3021.57"/>
    <n v="3975.75"/>
    <n v="3180.6"/>
    <n v="3975.75"/>
    <n v="3021.57"/>
    <n v="2862.54"/>
    <n v="3816.7200000000003"/>
    <n v="3021.57"/>
    <n v="1"/>
  </r>
  <r>
    <s v="BUD"/>
    <x v="17"/>
    <s v="01417I"/>
    <s v="01417I744"/>
    <s v="ALOK SHRIVASTAVA         "/>
    <s v="India"/>
    <s v="Pune"/>
    <s v="7B"/>
    <n v="37"/>
    <s v="Prashant Kayangude"/>
    <s v="Downstream S&amp;M"/>
    <s v="GDC Labor"/>
    <x v="0"/>
    <n v="174.6"/>
    <n v="165.87"/>
    <n v="200.79"/>
    <n v="174.6"/>
    <n v="90"/>
    <m/>
    <m/>
    <m/>
    <m/>
    <m/>
    <m/>
    <m/>
    <s v="LWD 15thMay2026"/>
    <n v="6460.2"/>
    <n v="6137.1900000000005"/>
    <n v="7429.23"/>
    <n v="6460.2"/>
    <n v="3330"/>
    <n v="0"/>
    <n v="0"/>
    <n v="0"/>
    <n v="0"/>
    <n v="0"/>
    <n v="0"/>
    <n v="0"/>
    <n v="0"/>
  </r>
  <r>
    <s v="BUD"/>
    <x v="17"/>
    <s v="09701H"/>
    <s v="09701H744"/>
    <s v="SANJUKTA CHOUDHURY       "/>
    <s v="India"/>
    <s v="Kolkata"/>
    <s v="7B"/>
    <n v="30.5"/>
    <s v="Prashant Kayangude"/>
    <s v="Downstream S&amp;M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5059.0349999999999"/>
    <n v="5059.0349999999999"/>
    <n v="6390.36"/>
    <n v="5325.3"/>
    <n v="4850.415"/>
    <n v="6382.125"/>
    <n v="5105.7"/>
    <n v="6382.125"/>
    <n v="4850.415"/>
    <n v="4595.13"/>
    <n v="6382.125"/>
    <n v="4850.415"/>
    <n v="1"/>
  </r>
  <r>
    <s v="BUD"/>
    <x v="17"/>
    <s v="065436"/>
    <s v="065436744"/>
    <s v="V H RAVI SINGH           "/>
    <s v="India"/>
    <s v="Bangalore"/>
    <s v="7B"/>
    <n v="37"/>
    <s v="Prashant Kayangude"/>
    <s v="Downstream S&amp;M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6137.1900000000005"/>
    <n v="6137.1900000000005"/>
    <n v="7752.24"/>
    <n v="6137.1900000000005"/>
    <n v="5884.11"/>
    <n v="7742.25"/>
    <n v="6193.8"/>
    <n v="7742.25"/>
    <n v="5884.11"/>
    <n v="5574.42"/>
    <n v="7742.25"/>
    <n v="5884.11"/>
    <n v="1"/>
  </r>
  <r>
    <s v="BUD"/>
    <x v="17"/>
    <n v="261490"/>
    <s v="261490744"/>
    <s v="Bikash Harichandan"/>
    <s v="India"/>
    <s v="Kolkata"/>
    <s v="7B"/>
    <n v="37"/>
    <s v="Prashant Kayangude"/>
    <s v="Downstream S&amp;M"/>
    <s v="GDC Labor"/>
    <x v="0"/>
    <n v="40"/>
    <m/>
    <m/>
    <m/>
    <m/>
    <m/>
    <m/>
    <m/>
    <m/>
    <m/>
    <m/>
    <m/>
    <s v="LWD 2nd Jan"/>
    <n v="1480"/>
    <n v="0"/>
    <n v="0"/>
    <n v="0"/>
    <n v="0"/>
    <n v="0"/>
    <n v="0"/>
    <n v="0"/>
    <n v="0"/>
    <n v="0"/>
    <n v="0"/>
    <n v="0"/>
    <n v="0"/>
  </r>
  <r>
    <s v="BUD"/>
    <x v="17"/>
    <s v="SVR3K2"/>
    <s v="SVR3K2744"/>
    <s v="Sanjay Singh"/>
    <s v="India"/>
    <s v="Pune"/>
    <s v="7B"/>
    <n v="30.5"/>
    <s v="Prashant Kayangude"/>
    <s v="Downstream S&amp;M"/>
    <s v="GDC Labor"/>
    <x v="5"/>
    <n v="166.84"/>
    <n v="166.84"/>
    <n v="210.48999999999998"/>
    <n v="166.84"/>
    <n v="159.96"/>
    <n v="209.25"/>
    <n v="167.4"/>
    <n v="209.25"/>
    <n v="159.96"/>
    <n v="152.52000000000001"/>
    <n v="201.81"/>
    <n v="159.96"/>
    <s v="Bikash Harichandan backfill"/>
    <n v="5088.62"/>
    <n v="5088.62"/>
    <n v="6419.9449999999997"/>
    <n v="5088.62"/>
    <n v="4878.7800000000007"/>
    <n v="6382.125"/>
    <n v="5105.7"/>
    <n v="6382.125"/>
    <n v="4878.7800000000007"/>
    <n v="4651.8600000000006"/>
    <n v="6155.2049999999999"/>
    <n v="4878.7800000000007"/>
    <n v="1"/>
  </r>
  <r>
    <s v="BUD"/>
    <x v="17"/>
    <s v="003Y3A"/>
    <s v="003Y3A744"/>
    <s v="Akhilesh Singh"/>
    <s v="India"/>
    <s v="Mumbai"/>
    <s v="7B"/>
    <n v="30.5"/>
    <s v="Prashant Kayangude"/>
    <s v="Downstream S&amp;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325.3"/>
    <n v="5059.0349999999999"/>
    <n v="6124.0949999999993"/>
    <n v="5325.3"/>
    <n v="4850.415"/>
    <n v="6382.125"/>
    <n v="5105.7"/>
    <n v="6382.125"/>
    <n v="4850.415"/>
    <n v="4595.13"/>
    <n v="6126.8400000000011"/>
    <n v="4850.415"/>
    <n v="1"/>
  </r>
  <r>
    <s v="BUD"/>
    <x v="17"/>
    <s v="0004IZ"/>
    <s v="0004IZ744"/>
    <s v="JYOTHI ABBE              "/>
    <s v="India"/>
    <s v="Bangalore"/>
    <s v="6B"/>
    <n v="19"/>
    <s v="Prashant Kayangude"/>
    <s v="Downstream S&amp;M"/>
    <s v="GDC Labor"/>
    <x v="0"/>
    <n v="165.87"/>
    <n v="165.87"/>
    <n v="209.51999999999998"/>
    <n v="165.87"/>
    <n v="159.03"/>
    <n v="209.25"/>
    <n v="167.4"/>
    <n v="209.25"/>
    <n v="159.03"/>
    <n v="150.66"/>
    <n v="209.25"/>
    <n v="159.03"/>
    <m/>
    <n v="3151.53"/>
    <n v="3151.53"/>
    <n v="3980.8799999999997"/>
    <n v="3151.53"/>
    <n v="3021.57"/>
    <n v="3975.75"/>
    <n v="3180.6"/>
    <n v="3975.75"/>
    <n v="3021.57"/>
    <n v="2862.54"/>
    <n v="3975.75"/>
    <n v="3021.57"/>
    <n v="1"/>
  </r>
  <r>
    <s v="BUD"/>
    <x v="17"/>
    <s v="0687F9"/>
    <s v="0687F9744"/>
    <s v="SAKHEE MATE              "/>
    <s v="India"/>
    <s v="Pune"/>
    <s v="7A"/>
    <n v="29.5"/>
    <s v="Prashant Kayangude"/>
    <s v="Downstream S&amp;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5150.7"/>
    <n v="4893.165"/>
    <n v="5923.3049999999994"/>
    <n v="5150.7"/>
    <n v="4691.3850000000002"/>
    <n v="6172.875"/>
    <n v="4938.3"/>
    <n v="6172.875"/>
    <n v="4691.3850000000002"/>
    <n v="4444.47"/>
    <n v="5925.9600000000009"/>
    <n v="4691.3850000000002"/>
    <n v="1"/>
  </r>
  <r>
    <s v="BUD"/>
    <x v="17"/>
    <s v="000I07"/>
    <s v="000I07744"/>
    <s v="Harika Yalla"/>
    <s v="India"/>
    <s v="Hyderabad"/>
    <s v="6B"/>
    <n v="19"/>
    <s v="Prashant Kayangude"/>
    <s v="Downstream S&amp;M"/>
    <s v="GDC Labor"/>
    <x v="0"/>
    <n v="165.87"/>
    <n v="165.87"/>
    <n v="209.51999999999998"/>
    <n v="174.6"/>
    <n v="159.03"/>
    <n v="209.25"/>
    <n v="167.4"/>
    <n v="209.25"/>
    <n v="159.03"/>
    <n v="150.66"/>
    <n v="209.25"/>
    <n v="159.03"/>
    <m/>
    <n v="3151.53"/>
    <n v="3151.53"/>
    <n v="3980.8799999999997"/>
    <n v="3317.4"/>
    <n v="3021.57"/>
    <n v="3975.75"/>
    <n v="3180.6"/>
    <n v="3975.75"/>
    <n v="3021.57"/>
    <n v="2862.54"/>
    <n v="3975.75"/>
    <n v="3021.57"/>
    <n v="1"/>
  </r>
  <r>
    <s v="BUD"/>
    <x v="17"/>
    <s v="005VFK"/>
    <s v="005VFK744"/>
    <s v="Jagruti Ravindra Bhoyar"/>
    <s v="India"/>
    <s v="Pune"/>
    <s v="6G"/>
    <n v="14"/>
    <s v="Prashant Kayangude"/>
    <s v="Triage Evaluate &amp; Dispatch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2444.4"/>
    <n v="2322.1800000000003"/>
    <n v="2811.06"/>
    <n v="2444.4"/>
    <n v="2226.42"/>
    <n v="2929.5"/>
    <n v="2343.6"/>
    <n v="2929.5"/>
    <n v="2226.42"/>
    <n v="2109.2399999999998"/>
    <n v="2812.32"/>
    <n v="2226.42"/>
    <n v="1"/>
  </r>
  <r>
    <s v="BUD"/>
    <x v="17"/>
    <s v="005TZS"/>
    <s v="005TZS744"/>
    <s v="Sneha Behera"/>
    <s v="India"/>
    <s v="Pune"/>
    <s v="6G"/>
    <n v="14"/>
    <s v="Prashant Kayangude"/>
    <s v="Downstream S&amp;M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2444.4"/>
    <n v="2322.1800000000003"/>
    <n v="2811.06"/>
    <n v="2444.4"/>
    <n v="2226.42"/>
    <n v="2929.5"/>
    <n v="2343.6"/>
    <n v="2929.5"/>
    <n v="2226.42"/>
    <n v="2109.2399999999998"/>
    <n v="2812.32"/>
    <n v="2226.42"/>
    <n v="1"/>
  </r>
  <r>
    <s v="BUD"/>
    <x v="17"/>
    <s v="0027LZ"/>
    <s v="0027LZ744"/>
    <s v="Pooja NM"/>
    <s v="India"/>
    <s v="Bangalore"/>
    <s v="6B"/>
    <n v="23.5"/>
    <s v="Prashant Kayangude"/>
    <s v="RFMP"/>
    <s v="GDC Labor"/>
    <x v="0"/>
    <n v="165.87"/>
    <n v="80"/>
    <m/>
    <m/>
    <m/>
    <m/>
    <m/>
    <m/>
    <m/>
    <m/>
    <m/>
    <m/>
    <s v="LWD 6th Feb"/>
    <n v="3897.9450000000002"/>
    <n v="1880"/>
    <n v="0"/>
    <n v="0"/>
    <n v="0"/>
    <n v="0"/>
    <n v="0"/>
    <n v="0"/>
    <n v="0"/>
    <n v="0"/>
    <n v="0"/>
    <n v="0"/>
    <n v="0"/>
  </r>
  <r>
    <s v="BUD"/>
    <x v="17"/>
    <s v="SVY7E6"/>
    <s v="SVY7E6744"/>
    <s v="Vigneshwaran Rangasamy"/>
    <s v="India"/>
    <s v="Bangalore"/>
    <s v="7A"/>
    <n v="25.5"/>
    <s v="Prashant Kayangude"/>
    <s v="Downstream S&amp;M"/>
    <s v="GDC Labor"/>
    <x v="5"/>
    <n v="166.84"/>
    <n v="166.84"/>
    <n v="210.48999999999998"/>
    <n v="120"/>
    <m/>
    <m/>
    <m/>
    <m/>
    <m/>
    <m/>
    <m/>
    <m/>
    <s v="LWD 17th April"/>
    <n v="4254.42"/>
    <n v="4254.42"/>
    <n v="5367.4949999999999"/>
    <n v="3060"/>
    <n v="0"/>
    <n v="0"/>
    <n v="0"/>
    <n v="0"/>
    <n v="0"/>
    <n v="0"/>
    <n v="0"/>
    <n v="0"/>
    <n v="0"/>
  </r>
  <r>
    <s v="BUD"/>
    <x v="17"/>
    <s v="SVYKIZ"/>
    <s v="SVYKIZ744"/>
    <s v="Neeraj Kumar Shukla"/>
    <s v="India"/>
    <s v="Pune"/>
    <s v="7A"/>
    <n v="25.5"/>
    <s v="Prashant Kayangude"/>
    <s v="Downstream S&amp;M"/>
    <s v="GDC Labor"/>
    <x v="5"/>
    <m/>
    <m/>
    <m/>
    <m/>
    <m/>
    <n v="80"/>
    <n v="167.4"/>
    <n v="209.25"/>
    <n v="159.96"/>
    <n v="152.52000000000001"/>
    <n v="201.81"/>
    <n v="159.96"/>
    <s v="Vigneshwaran Rangasamy Backfill"/>
    <n v="0"/>
    <n v="0"/>
    <n v="0"/>
    <n v="0"/>
    <n v="0"/>
    <n v="2040"/>
    <n v="4268.7"/>
    <n v="5335.875"/>
    <n v="4078.98"/>
    <n v="3889.26"/>
    <n v="5146.1549999999997"/>
    <n v="4078.98"/>
    <n v="1"/>
  </r>
  <r>
    <s v="BUD"/>
    <x v="17"/>
    <n v="917060"/>
    <n v="917060744"/>
    <s v="Sreehari Panthangi Sonduri"/>
    <s v="India"/>
    <s v="Hyderabad"/>
    <s v="7B"/>
    <n v="37"/>
    <s v="Prashant Kayangude"/>
    <s v="Downstream S&amp;M"/>
    <s v="GDC Labor"/>
    <x v="0"/>
    <m/>
    <m/>
    <m/>
    <m/>
    <m/>
    <n v="171"/>
    <n v="167.4"/>
    <n v="209.25"/>
    <n v="159.03"/>
    <n v="150.66"/>
    <n v="209.25"/>
    <n v="159.03"/>
    <s v="Vigneshwaran Rangasamy Backfill"/>
    <n v="0"/>
    <n v="0"/>
    <n v="0"/>
    <n v="0"/>
    <n v="0"/>
    <n v="6327"/>
    <n v="6193.8"/>
    <n v="7742.25"/>
    <n v="5884.11"/>
    <n v="5574.42"/>
    <n v="7742.25"/>
    <n v="5884.11"/>
    <n v="1"/>
  </r>
  <r>
    <s v="BUD"/>
    <x v="17"/>
    <s v="003HKN"/>
    <s v="003HKN744"/>
    <s v="Harshada Singh"/>
    <s v="India"/>
    <s v="Mumbai"/>
    <s v="7B"/>
    <n v="37"/>
    <s v="Prashant Kayangude"/>
    <s v="Downstream S&amp;M"/>
    <s v="GDC Labor"/>
    <x v="0"/>
    <m/>
    <m/>
    <m/>
    <m/>
    <m/>
    <n v="180"/>
    <n v="167.4"/>
    <n v="209.25"/>
    <n v="159.03"/>
    <n v="150.66"/>
    <n v="200.88000000000002"/>
    <n v="159.03"/>
    <s v="Vigneshwaran Rangasamy Backfill"/>
    <n v="0"/>
    <n v="0"/>
    <n v="0"/>
    <n v="0"/>
    <n v="0"/>
    <n v="6660"/>
    <n v="6193.8"/>
    <n v="7742.25"/>
    <n v="5884.11"/>
    <n v="5574.42"/>
    <n v="7432.5600000000013"/>
    <n v="5884.11"/>
    <n v="1"/>
  </r>
  <r>
    <s v="BUD"/>
    <x v="17"/>
    <s v="001AH8"/>
    <s v="001AH8744"/>
    <s v="Supriya H"/>
    <s v="India"/>
    <s v="Bangalore"/>
    <s v="6B"/>
    <n v="23.5"/>
    <s v="Prashant Kayangude"/>
    <s v="Downstream S&amp;M"/>
    <s v="GDC Labor"/>
    <x v="0"/>
    <m/>
    <m/>
    <m/>
    <m/>
    <m/>
    <n v="180"/>
    <n v="167.4"/>
    <n v="209.25"/>
    <n v="159.03"/>
    <n v="150.66"/>
    <n v="209.25"/>
    <n v="159.03"/>
    <s v="Vigneshwaran Rangasamy Backfill"/>
    <n v="0"/>
    <n v="0"/>
    <n v="0"/>
    <n v="0"/>
    <n v="0"/>
    <n v="4230"/>
    <n v="3933.9"/>
    <n v="4917.375"/>
    <n v="3737.2049999999999"/>
    <n v="3540.5099999999998"/>
    <n v="4917.375"/>
    <n v="3737.2049999999999"/>
    <n v="1"/>
  </r>
  <r>
    <s v="BUD"/>
    <x v="17"/>
    <s v="096663"/>
    <s v="096663744"/>
    <s v="VIJAY KUMAR DASARI"/>
    <s v="India"/>
    <s v="Bangalore"/>
    <s v="7B"/>
    <n v="37"/>
    <s v="Prashant Kayangude"/>
    <s v="Downstream S&amp;M"/>
    <s v="GDC Labor"/>
    <x v="0"/>
    <m/>
    <m/>
    <m/>
    <m/>
    <m/>
    <n v="104.625"/>
    <n v="83.7"/>
    <n v="104.625"/>
    <n v="79.515000000000001"/>
    <n v="75.33"/>
    <n v="104.625"/>
    <n v="79.515000000000001"/>
    <s v="Partial billing on Project work"/>
    <n v="0"/>
    <n v="0"/>
    <n v="0"/>
    <n v="0"/>
    <n v="0"/>
    <n v="3871.125"/>
    <n v="3096.9"/>
    <n v="3871.125"/>
    <n v="2942.0549999999998"/>
    <n v="2787.21"/>
    <n v="3871.125"/>
    <n v="2942.0549999999998"/>
    <n v="0.5"/>
  </r>
  <r>
    <s v="BUD"/>
    <x v="17"/>
    <s v="850210"/>
    <s v="850210744"/>
    <s v="NIKITA AGRAWAL"/>
    <s v="India"/>
    <s v="Navi Mumbai"/>
    <n v="8"/>
    <n v="41"/>
    <s v="Nikita Agrawal"/>
    <s v="Manage Supply and Products - STO"/>
    <s v="GDC Labor"/>
    <x v="0"/>
    <m/>
    <m/>
    <m/>
    <n v="125"/>
    <n v="120"/>
    <n v="148"/>
    <n v="167.4"/>
    <n v="209.25"/>
    <n v="159.03"/>
    <n v="150.66"/>
    <n v="200.88000000000002"/>
    <n v="159.03"/>
    <m/>
    <n v="0"/>
    <n v="0"/>
    <n v="0"/>
    <n v="5125"/>
    <n v="4920"/>
    <n v="6068"/>
    <n v="6863.4000000000005"/>
    <n v="8579.25"/>
    <n v="6520.2300000000005"/>
    <n v="6177.0599999999995"/>
    <n v="8236.0800000000017"/>
    <n v="6520.2300000000005"/>
    <n v="0.75"/>
  </r>
  <r>
    <s v="BUD"/>
    <x v="17"/>
    <s v="077024"/>
    <s v="077024649"/>
    <s v="KHURRAM JAHANGIR"/>
    <s v="Local"/>
    <s v="Canada"/>
    <n v="10"/>
    <n v="252.5"/>
    <s v="Omprakash Yadav"/>
    <s v="Non-SAP - Leadership"/>
    <s v="Non GDC Labor"/>
    <x v="1"/>
    <n v="152"/>
    <n v="152"/>
    <n v="192"/>
    <m/>
    <m/>
    <m/>
    <m/>
    <m/>
    <m/>
    <m/>
    <m/>
    <m/>
    <m/>
    <n v="38380"/>
    <n v="38380"/>
    <n v="48480"/>
    <n v="0"/>
    <n v="0"/>
    <n v="0"/>
    <n v="0"/>
    <n v="0"/>
    <n v="0"/>
    <n v="0"/>
    <n v="0"/>
    <n v="0"/>
    <n v="0"/>
  </r>
  <r>
    <s v="BUD"/>
    <x v="17"/>
    <s v="0B8500"/>
    <s v="0B8500649"/>
    <s v="Sohini Mukherjee"/>
    <s v="Local"/>
    <s v="Canada"/>
    <n v="10"/>
    <n v="333.5"/>
    <s v="Omprakash Yadav"/>
    <s v="Non-SAP - Leadership"/>
    <s v="Non GDC Labor"/>
    <x v="1"/>
    <m/>
    <m/>
    <m/>
    <n v="0"/>
    <n v="0"/>
    <n v="0"/>
    <n v="0"/>
    <n v="192"/>
    <n v="152"/>
    <n v="152"/>
    <n v="192"/>
    <n v="152"/>
    <s v="KHURRAM JAHANGIR backfill"/>
    <n v="0"/>
    <n v="0"/>
    <n v="0"/>
    <n v="0"/>
    <n v="0"/>
    <n v="0"/>
    <n v="0"/>
    <n v="64032"/>
    <n v="50692"/>
    <n v="50692"/>
    <n v="64032"/>
    <n v="50692"/>
    <n v="1"/>
  </r>
  <r>
    <s v="BUD"/>
    <x v="17"/>
    <s v="0F2050"/>
    <s v="0F2050649 "/>
    <s v="Pratha Veronica Verma"/>
    <s v="Local"/>
    <s v="Canada"/>
    <n v="8"/>
    <n v="132"/>
    <s v="Omprakash Yadav"/>
    <s v="Non-SAP - Architect"/>
    <s v="Non GDC Labor"/>
    <x v="1"/>
    <m/>
    <m/>
    <m/>
    <n v="0"/>
    <n v="20"/>
    <n v="25"/>
    <n v="20"/>
    <n v="25"/>
    <n v="20"/>
    <n v="20"/>
    <n v="25"/>
    <n v="20"/>
    <s v="New addition - Site Reliability Architect"/>
    <n v="0"/>
    <n v="0"/>
    <n v="0"/>
    <n v="0"/>
    <n v="2640"/>
    <n v="3300"/>
    <n v="2640"/>
    <n v="3300"/>
    <n v="2640"/>
    <n v="2640"/>
    <n v="3300"/>
    <n v="2640"/>
    <n v="1"/>
  </r>
  <r>
    <s v="BUD"/>
    <x v="17"/>
    <s v="0B9640"/>
    <s v="0B9640649"/>
    <s v="POOYA TAVASSOLI"/>
    <s v="Local"/>
    <s v="Canada"/>
    <n v="9"/>
    <n v="168"/>
    <s v="Omprakash Yadav"/>
    <s v="Non-SAP - Leadership"/>
    <s v="Non GDC Labor"/>
    <x v="1"/>
    <n v="152"/>
    <n v="152"/>
    <n v="192"/>
    <n v="160"/>
    <n v="152"/>
    <n v="200"/>
    <n v="152"/>
    <n v="192"/>
    <n v="152"/>
    <n v="152"/>
    <n v="192"/>
    <n v="152"/>
    <m/>
    <n v="25536"/>
    <n v="25536"/>
    <n v="32256"/>
    <n v="26880"/>
    <n v="25536"/>
    <n v="33600"/>
    <n v="25536"/>
    <n v="32256"/>
    <n v="25536"/>
    <n v="25536"/>
    <n v="32256"/>
    <n v="25536"/>
    <n v="1"/>
  </r>
  <r>
    <s v="BUD"/>
    <x v="17"/>
    <s v="031516"/>
    <s v="31516744"/>
    <s v="Sudheer Kumar Shivampeta"/>
    <s v="India"/>
    <s v="Hyderabad"/>
    <n v="10"/>
    <n v="97"/>
    <s v="Omprakash Yadav"/>
    <s v="Specialized"/>
    <s v="GDC Labor"/>
    <x v="0"/>
    <n v="165.87"/>
    <n v="145"/>
    <n v="209.51999999999998"/>
    <n v="174.6"/>
    <n v="99"/>
    <n v="209.25"/>
    <n v="167.4"/>
    <n v="209.25"/>
    <n v="159.03"/>
    <n v="150.66"/>
    <n v="209.25"/>
    <n v="159.03"/>
    <m/>
    <n v="16089.390000000001"/>
    <n v="14065"/>
    <n v="20323.439999999999"/>
    <n v="16936.2"/>
    <n v="9603"/>
    <n v="20297.25"/>
    <n v="16237.800000000001"/>
    <n v="20297.25"/>
    <n v="15425.91"/>
    <n v="14614.02"/>
    <n v="20297.25"/>
    <n v="15425.91"/>
    <n v="1"/>
  </r>
  <r>
    <s v="BUD"/>
    <x v="17"/>
    <s v="379243"/>
    <s v="379243744"/>
    <s v="OMPRAKASH R. YADAV"/>
    <s v="India"/>
    <s v="Pune"/>
    <n v="8"/>
    <n v="41"/>
    <s v="Omprakash Yadav"/>
    <s v="Specialized"/>
    <s v="GDC Labor"/>
    <x v="0"/>
    <n v="174.6"/>
    <n v="165.87"/>
    <n v="200.79"/>
    <n v="174.6"/>
    <n v="159.03"/>
    <n v="209.25"/>
    <n v="167.4"/>
    <n v="209.25"/>
    <n v="159.03"/>
    <n v="150.66"/>
    <n v="200.88000000000002"/>
    <n v="159.03"/>
    <m/>
    <n v="7158.5999999999995"/>
    <n v="6800.67"/>
    <n v="8232.39"/>
    <n v="7158.5999999999995"/>
    <n v="6520.2300000000005"/>
    <n v="8579.25"/>
    <n v="6863.4000000000005"/>
    <n v="8579.25"/>
    <n v="6520.2300000000005"/>
    <n v="6177.0599999999995"/>
    <n v="8236.0800000000017"/>
    <n v="6520.2300000000005"/>
    <n v="1"/>
  </r>
  <r>
    <s v="BUD"/>
    <x v="17"/>
    <s v="Broker Uplift"/>
    <s v="Broker Uplift"/>
    <s v="Broker Uplift"/>
    <s v="Broker Uplift"/>
    <s v="Broker Uplift"/>
    <m/>
    <m/>
    <s v="Broker Uplift"/>
    <s v="Broker Uplift"/>
    <s v="Broker Uplift"/>
    <x v="2"/>
    <m/>
    <m/>
    <m/>
    <m/>
    <m/>
    <m/>
    <m/>
    <m/>
    <m/>
    <m/>
    <m/>
    <m/>
    <m/>
    <n v="47959.948500000013"/>
    <n v="45338.138249999996"/>
    <n v="57102.893249999994"/>
    <n v="47816.175750000009"/>
    <n v="42390.849000000038"/>
    <n v="59172.543749999997"/>
    <n v="48556.395000000004"/>
    <n v="60697.35"/>
    <n v="46164.694500000034"/>
    <n v="43765.56900000001"/>
    <n v="59374.898250000013"/>
    <n v="46164.694500000034"/>
    <m/>
  </r>
  <r>
    <s v="BUD"/>
    <x v="17"/>
    <s v="Expenses"/>
    <s v="Expenses"/>
    <s v="Expenses"/>
    <s v="Expenses"/>
    <s v="Expenses"/>
    <m/>
    <m/>
    <s v="Expenses"/>
    <s v="Expenses"/>
    <s v="Expenses"/>
    <x v="3"/>
    <m/>
    <m/>
    <m/>
    <m/>
    <m/>
    <m/>
    <m/>
    <m/>
    <m/>
    <m/>
    <m/>
    <m/>
    <m/>
    <n v="8000"/>
    <n v="8000"/>
    <n v="10000"/>
    <n v="8000"/>
    <n v="8000"/>
    <n v="10000"/>
    <n v="8000"/>
    <n v="8000"/>
    <n v="10000"/>
    <n v="8000"/>
    <n v="8000"/>
    <n v="10000"/>
    <m/>
  </r>
  <r>
    <s v="BUD"/>
    <x v="17"/>
    <s v="Standby"/>
    <s v="Standby"/>
    <s v="Standby"/>
    <s v="Standby"/>
    <s v="Standby"/>
    <m/>
    <m/>
    <s v="Standby"/>
    <s v="Standby"/>
    <s v="Standby"/>
    <x v="4"/>
    <m/>
    <m/>
    <m/>
    <m/>
    <m/>
    <m/>
    <m/>
    <m/>
    <m/>
    <m/>
    <m/>
    <m/>
    <m/>
    <n v="4536"/>
    <n v="4536"/>
    <n v="5670"/>
    <n v="4536"/>
    <n v="4536"/>
    <n v="5670"/>
    <n v="4536"/>
    <n v="5670"/>
    <n v="4536"/>
    <n v="4536"/>
    <n v="5670"/>
    <n v="453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72D6E-C8B0-B54C-8FF8-A49E7570B41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11" firstHeaderRow="0" firstDataRow="1" firstDataCol="1" rowPageCount="1" colPageCount="1"/>
  <pivotFields count="39">
    <pivotField showAll="0"/>
    <pivotField axis="axisPage" showAll="0">
      <items count="20">
        <item x="17"/>
        <item x="0"/>
        <item x="14"/>
        <item x="4"/>
        <item x="6"/>
        <item x="7"/>
        <item x="8"/>
        <item x="10"/>
        <item x="11"/>
        <item x="12"/>
        <item x="2"/>
        <item x="1"/>
        <item m="1" x="18"/>
        <item x="9"/>
        <item x="13"/>
        <item x="15"/>
        <item x="3"/>
        <item x="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" hier="-1"/>
  </pageFields>
  <dataFields count="12">
    <dataField name="Sum of Jan-26 Cost" fld="26" baseField="0" baseItem="0" numFmtId="165"/>
    <dataField name="Sum of Feb-26 Cost" fld="27" baseField="0" baseItem="0" numFmtId="165"/>
    <dataField name="Sum of Mar-26 Cost" fld="28" baseField="0" baseItem="0" numFmtId="165"/>
    <dataField name="Sum of Apr-26 Cost" fld="29" baseField="0" baseItem="0" numFmtId="165"/>
    <dataField name="Sum of May-26 Cost" fld="30" baseField="0" baseItem="0" numFmtId="165"/>
    <dataField name="Sum of June-26 Cost" fld="31" baseField="0" baseItem="0" numFmtId="165"/>
    <dataField name="Sum of July-26 Cost" fld="32" baseField="0" baseItem="0" numFmtId="165"/>
    <dataField name="Sum of Aug-26 Cost" fld="33" baseField="0" baseItem="0" numFmtId="165"/>
    <dataField name="Sum of Sep-26 Cost" fld="34" baseField="0" baseItem="0" numFmtId="165"/>
    <dataField name="Sum of Oct-26 Cost" fld="35" baseField="0" baseItem="0" numFmtId="165"/>
    <dataField name="Sum of Nov-26 Cost" fld="36" baseField="0" baseItem="0" numFmtId="165"/>
    <dataField name="Sum of Dec-26 Cost" fld="37" baseField="0" baseItem="0" numFmtId="165"/>
  </dataFields>
  <formats count="5"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730E-A513-AE42-9EFE-4D9E79C06D80}">
  <dimension ref="A2:M34"/>
  <sheetViews>
    <sheetView tabSelected="1" zoomScaleNormal="1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D28" sqref="D28"/>
    </sheetView>
  </sheetViews>
  <sheetFormatPr defaultColWidth="11.5546875" defaultRowHeight="13.2"/>
  <cols>
    <col min="1" max="1" width="25.44140625" bestFit="1" customWidth="1"/>
    <col min="2" max="2" width="19.88671875" bestFit="1" customWidth="1"/>
    <col min="3" max="3" width="20" bestFit="1" customWidth="1"/>
    <col min="4" max="4" width="20.109375" bestFit="1" customWidth="1"/>
    <col min="5" max="5" width="19.88671875" bestFit="1" customWidth="1"/>
    <col min="6" max="6" width="20.44140625" bestFit="1" customWidth="1"/>
    <col min="7" max="7" width="21.109375" bestFit="1" customWidth="1"/>
    <col min="8" max="8" width="20.44140625" bestFit="1" customWidth="1"/>
    <col min="9" max="9" width="20.33203125" bestFit="1" customWidth="1"/>
    <col min="10" max="10" width="20.109375" bestFit="1" customWidth="1"/>
    <col min="11" max="11" width="19.77734375" bestFit="1" customWidth="1"/>
    <col min="12" max="12" width="20.33203125" bestFit="1" customWidth="1"/>
    <col min="13" max="13" width="20.109375" bestFit="1" customWidth="1"/>
  </cols>
  <sheetData>
    <row r="2" spans="1:13">
      <c r="A2" s="106" t="s">
        <v>14</v>
      </c>
      <c r="B2" t="s">
        <v>1110</v>
      </c>
    </row>
    <row r="4" spans="1:13">
      <c r="A4" s="106" t="s">
        <v>0</v>
      </c>
      <c r="B4" s="139" t="s">
        <v>692</v>
      </c>
      <c r="C4" s="139" t="s">
        <v>693</v>
      </c>
      <c r="D4" s="139" t="s">
        <v>694</v>
      </c>
      <c r="E4" s="139" t="s">
        <v>695</v>
      </c>
      <c r="F4" s="139" t="s">
        <v>696</v>
      </c>
      <c r="G4" s="105" t="s">
        <v>697</v>
      </c>
      <c r="H4" t="s">
        <v>698</v>
      </c>
      <c r="I4" t="s">
        <v>699</v>
      </c>
      <c r="J4" t="s">
        <v>700</v>
      </c>
      <c r="K4" t="s">
        <v>701</v>
      </c>
      <c r="L4" t="s">
        <v>702</v>
      </c>
      <c r="M4" t="s">
        <v>703</v>
      </c>
    </row>
    <row r="5" spans="1:13">
      <c r="A5" s="1" t="s">
        <v>1</v>
      </c>
      <c r="B5" s="54">
        <v>962819.16500000074</v>
      </c>
      <c r="C5" s="54">
        <v>948117.45500000194</v>
      </c>
      <c r="D5" s="54">
        <v>1199768.5999999994</v>
      </c>
      <c r="E5" s="54">
        <v>959787.35999999987</v>
      </c>
      <c r="F5" s="54">
        <v>908771.58000000019</v>
      </c>
      <c r="G5" s="54">
        <v>1219008.9900000002</v>
      </c>
      <c r="H5" s="54">
        <v>1023941.6000000004</v>
      </c>
      <c r="I5" s="54">
        <v>1269703.385</v>
      </c>
      <c r="J5" s="54">
        <v>965395.74</v>
      </c>
      <c r="K5" s="54">
        <v>920865.62000000104</v>
      </c>
      <c r="L5" s="54">
        <v>1251060.0849999997</v>
      </c>
      <c r="M5" s="54">
        <v>961806.50000000012</v>
      </c>
    </row>
    <row r="6" spans="1:13">
      <c r="A6" s="1" t="s">
        <v>2</v>
      </c>
      <c r="B6" s="54">
        <v>800357.5</v>
      </c>
      <c r="C6" s="54">
        <v>813896</v>
      </c>
      <c r="D6" s="54">
        <v>1010881.5</v>
      </c>
      <c r="E6" s="54">
        <v>764150</v>
      </c>
      <c r="F6" s="54">
        <v>716632</v>
      </c>
      <c r="G6" s="54">
        <v>1009805.5</v>
      </c>
      <c r="H6" s="54">
        <v>767561</v>
      </c>
      <c r="I6" s="54">
        <v>1033548</v>
      </c>
      <c r="J6" s="54">
        <v>818253</v>
      </c>
      <c r="K6" s="54">
        <v>818253</v>
      </c>
      <c r="L6" s="54">
        <v>1033548</v>
      </c>
      <c r="M6" s="54">
        <v>818253</v>
      </c>
    </row>
    <row r="7" spans="1:13">
      <c r="A7" s="1" t="s">
        <v>3</v>
      </c>
      <c r="B7" s="54">
        <v>207062.11499999996</v>
      </c>
      <c r="C7" s="54">
        <v>200112.11499999996</v>
      </c>
      <c r="D7" s="54">
        <v>282417.07</v>
      </c>
      <c r="E7" s="54">
        <v>211820.57499999995</v>
      </c>
      <c r="F7" s="54">
        <v>216698.75500000012</v>
      </c>
      <c r="G7" s="54">
        <v>278746.60499999998</v>
      </c>
      <c r="H7" s="54">
        <v>217068.5</v>
      </c>
      <c r="I7" s="54">
        <v>273194.625</v>
      </c>
      <c r="J7" s="54">
        <v>213579.53500000012</v>
      </c>
      <c r="K7" s="54">
        <v>210090.57</v>
      </c>
      <c r="L7" s="54">
        <v>269902.08500000002</v>
      </c>
      <c r="M7" s="54">
        <v>213579.53500000012</v>
      </c>
    </row>
    <row r="8" spans="1:13">
      <c r="A8" s="1" t="s">
        <v>4</v>
      </c>
      <c r="B8" s="54">
        <v>148836.117</v>
      </c>
      <c r="C8" s="54">
        <v>147326.26049999997</v>
      </c>
      <c r="D8" s="54">
        <v>185938.00049999997</v>
      </c>
      <c r="E8" s="54">
        <v>147452.69024999999</v>
      </c>
      <c r="F8" s="54">
        <v>140168.11425000001</v>
      </c>
      <c r="G8" s="54">
        <v>184992.38324999996</v>
      </c>
      <c r="H8" s="54">
        <v>154658.00999999998</v>
      </c>
      <c r="I8" s="54">
        <v>191820.22649999999</v>
      </c>
      <c r="J8" s="54">
        <v>145486.35525000002</v>
      </c>
      <c r="K8" s="54">
        <v>138417.06149999998</v>
      </c>
      <c r="L8" s="54">
        <v>188663.41950000002</v>
      </c>
      <c r="M8" s="54">
        <v>144947.96925000002</v>
      </c>
    </row>
    <row r="9" spans="1:13">
      <c r="A9" s="1" t="s">
        <v>5</v>
      </c>
      <c r="B9" s="54">
        <v>77000</v>
      </c>
      <c r="C9" s="54">
        <v>37000</v>
      </c>
      <c r="D9" s="54">
        <v>44000</v>
      </c>
      <c r="E9" s="54">
        <v>37000</v>
      </c>
      <c r="F9" s="54">
        <v>37200</v>
      </c>
      <c r="G9" s="54">
        <v>43800</v>
      </c>
      <c r="H9" s="54">
        <v>37000</v>
      </c>
      <c r="I9" s="54">
        <v>40000</v>
      </c>
      <c r="J9" s="54">
        <v>41000</v>
      </c>
      <c r="K9" s="54">
        <v>39000</v>
      </c>
      <c r="L9" s="54">
        <v>42800</v>
      </c>
      <c r="M9" s="54">
        <v>43000</v>
      </c>
    </row>
    <row r="10" spans="1:13">
      <c r="A10" s="1" t="s">
        <v>6</v>
      </c>
      <c r="B10" s="54">
        <v>20088.000000000004</v>
      </c>
      <c r="C10" s="54">
        <v>20088.000000000004</v>
      </c>
      <c r="D10" s="54">
        <v>25272</v>
      </c>
      <c r="E10" s="54">
        <v>20088.000000000004</v>
      </c>
      <c r="F10" s="54">
        <v>20088.000000000004</v>
      </c>
      <c r="G10" s="54">
        <v>25272</v>
      </c>
      <c r="H10" s="54">
        <v>20088.000000000004</v>
      </c>
      <c r="I10" s="54">
        <v>25110</v>
      </c>
      <c r="J10" s="54">
        <v>20217.600000000006</v>
      </c>
      <c r="K10" s="54">
        <v>20088.000000000004</v>
      </c>
      <c r="L10" s="54">
        <v>25110</v>
      </c>
      <c r="M10" s="54">
        <v>20217.600000000006</v>
      </c>
    </row>
    <row r="11" spans="1:13">
      <c r="A11" s="1" t="s">
        <v>7</v>
      </c>
      <c r="B11" s="54">
        <v>2216162.8970000008</v>
      </c>
      <c r="C11" s="54">
        <v>2166539.830500002</v>
      </c>
      <c r="D11" s="54">
        <v>2748277.1704999995</v>
      </c>
      <c r="E11" s="54">
        <v>2140298.6252499996</v>
      </c>
      <c r="F11" s="54">
        <v>2039558.4492500003</v>
      </c>
      <c r="G11" s="54">
        <v>2761625.4782500002</v>
      </c>
      <c r="H11" s="54">
        <v>2220317.1100000003</v>
      </c>
      <c r="I11" s="54">
        <v>2833376.2364999996</v>
      </c>
      <c r="J11" s="54">
        <v>2203932.2302500005</v>
      </c>
      <c r="K11" s="54">
        <v>2146714.2515000012</v>
      </c>
      <c r="L11" s="54">
        <v>2811083.5894999998</v>
      </c>
      <c r="M11" s="54">
        <v>2201804.6042500003</v>
      </c>
    </row>
    <row r="13" spans="1:13">
      <c r="L13" s="54"/>
      <c r="M13" s="54"/>
    </row>
    <row r="14" spans="1:13">
      <c r="K14" s="80"/>
    </row>
    <row r="16" spans="1:13" s="65" customFormat="1">
      <c r="A16" s="63" t="s">
        <v>8</v>
      </c>
      <c r="B16" s="64">
        <v>45658</v>
      </c>
      <c r="C16" s="64">
        <v>45689</v>
      </c>
      <c r="D16" s="64">
        <v>45717</v>
      </c>
      <c r="E16" s="64">
        <v>45748</v>
      </c>
      <c r="F16" s="64">
        <v>45778</v>
      </c>
      <c r="G16" s="64">
        <v>45809</v>
      </c>
      <c r="H16" s="64">
        <v>45839</v>
      </c>
      <c r="I16" s="64">
        <v>45870</v>
      </c>
      <c r="J16" s="64">
        <v>45901</v>
      </c>
      <c r="K16" s="64">
        <v>45931</v>
      </c>
      <c r="L16" s="64">
        <v>45962</v>
      </c>
      <c r="M16" s="64">
        <v>45992</v>
      </c>
    </row>
    <row r="17" spans="1:13" s="57" customFormat="1">
      <c r="A17" s="55" t="s">
        <v>9</v>
      </c>
      <c r="B17" s="56">
        <f>B6</f>
        <v>800357.5</v>
      </c>
      <c r="C17" s="56">
        <f t="shared" ref="C17:M17" si="0">C6</f>
        <v>813896</v>
      </c>
      <c r="D17" s="56">
        <f t="shared" si="0"/>
        <v>1010881.5</v>
      </c>
      <c r="E17" s="56">
        <f t="shared" si="0"/>
        <v>764150</v>
      </c>
      <c r="F17" s="56">
        <f t="shared" si="0"/>
        <v>716632</v>
      </c>
      <c r="G17" s="56">
        <f t="shared" si="0"/>
        <v>1009805.5</v>
      </c>
      <c r="H17" s="56">
        <f t="shared" si="0"/>
        <v>767561</v>
      </c>
      <c r="I17" s="56">
        <f t="shared" si="0"/>
        <v>1033548</v>
      </c>
      <c r="J17" s="56">
        <f t="shared" si="0"/>
        <v>818253</v>
      </c>
      <c r="K17" s="56">
        <f t="shared" si="0"/>
        <v>818253</v>
      </c>
      <c r="L17" s="56">
        <f t="shared" si="0"/>
        <v>1033548</v>
      </c>
      <c r="M17" s="56">
        <f t="shared" si="0"/>
        <v>818253</v>
      </c>
    </row>
    <row r="18" spans="1:13" s="57" customFormat="1">
      <c r="A18" s="55" t="s">
        <v>10</v>
      </c>
      <c r="B18" s="56">
        <f>B5+B7+B8+B10</f>
        <v>1338805.3970000008</v>
      </c>
      <c r="C18" s="56">
        <f t="shared" ref="C18:M18" si="1">C5+C7+C8+C10</f>
        <v>1315643.830500002</v>
      </c>
      <c r="D18" s="56">
        <f t="shared" si="1"/>
        <v>1693395.6704999995</v>
      </c>
      <c r="E18" s="56">
        <f t="shared" si="1"/>
        <v>1339148.6252499998</v>
      </c>
      <c r="F18" s="56">
        <f t="shared" si="1"/>
        <v>1285726.4492500005</v>
      </c>
      <c r="G18" s="56">
        <f t="shared" si="1"/>
        <v>1708019.9782500002</v>
      </c>
      <c r="H18" s="56">
        <f t="shared" si="1"/>
        <v>1415756.1100000006</v>
      </c>
      <c r="I18" s="56">
        <f t="shared" si="1"/>
        <v>1759828.2365000001</v>
      </c>
      <c r="J18" s="56">
        <f t="shared" si="1"/>
        <v>1344679.2302500003</v>
      </c>
      <c r="K18" s="56">
        <f t="shared" si="1"/>
        <v>1289461.2515000012</v>
      </c>
      <c r="L18" s="56">
        <f t="shared" si="1"/>
        <v>1734735.5894999998</v>
      </c>
      <c r="M18" s="56">
        <f t="shared" si="1"/>
        <v>1340551.6042500003</v>
      </c>
    </row>
    <row r="19" spans="1:13" s="57" customFormat="1">
      <c r="A19" s="55" t="s">
        <v>11</v>
      </c>
      <c r="B19" s="56">
        <f>B9</f>
        <v>77000</v>
      </c>
      <c r="C19" s="56">
        <f t="shared" ref="C19:M19" si="2">C9</f>
        <v>37000</v>
      </c>
      <c r="D19" s="56">
        <f t="shared" si="2"/>
        <v>44000</v>
      </c>
      <c r="E19" s="56">
        <f t="shared" si="2"/>
        <v>37000</v>
      </c>
      <c r="F19" s="56">
        <f t="shared" si="2"/>
        <v>37200</v>
      </c>
      <c r="G19" s="56">
        <f t="shared" si="2"/>
        <v>43800</v>
      </c>
      <c r="H19" s="56">
        <f t="shared" si="2"/>
        <v>37000</v>
      </c>
      <c r="I19" s="56">
        <f t="shared" si="2"/>
        <v>40000</v>
      </c>
      <c r="J19" s="56">
        <f t="shared" si="2"/>
        <v>41000</v>
      </c>
      <c r="K19" s="56">
        <f t="shared" si="2"/>
        <v>39000</v>
      </c>
      <c r="L19" s="56">
        <f t="shared" si="2"/>
        <v>42800</v>
      </c>
      <c r="M19" s="56">
        <f t="shared" si="2"/>
        <v>43000</v>
      </c>
    </row>
    <row r="20" spans="1:13" s="69" customFormat="1">
      <c r="A20" s="67"/>
      <c r="B20" s="68">
        <f t="shared" ref="B20:M20" si="3">SUM(B17:B19)</f>
        <v>2216162.8970000008</v>
      </c>
      <c r="C20" s="68">
        <f t="shared" si="3"/>
        <v>2166539.830500002</v>
      </c>
      <c r="D20" s="68">
        <f t="shared" si="3"/>
        <v>2748277.1704999995</v>
      </c>
      <c r="E20" s="68">
        <f t="shared" si="3"/>
        <v>2140298.6252499996</v>
      </c>
      <c r="F20" s="68">
        <f t="shared" si="3"/>
        <v>2039558.4492500005</v>
      </c>
      <c r="G20" s="68">
        <f t="shared" si="3"/>
        <v>2761625.4782500002</v>
      </c>
      <c r="H20" s="68">
        <f t="shared" si="3"/>
        <v>2220317.1100000003</v>
      </c>
      <c r="I20" s="68">
        <f t="shared" si="3"/>
        <v>2833376.2365000001</v>
      </c>
      <c r="J20" s="68">
        <f t="shared" si="3"/>
        <v>2203932.23025</v>
      </c>
      <c r="K20" s="68">
        <f t="shared" si="3"/>
        <v>2146714.2515000012</v>
      </c>
      <c r="L20" s="68">
        <f t="shared" si="3"/>
        <v>2811083.5894999998</v>
      </c>
      <c r="M20" s="68">
        <f t="shared" si="3"/>
        <v>2201804.6042500003</v>
      </c>
    </row>
    <row r="21" spans="1:13">
      <c r="A21" s="1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>
      <c r="A22" s="1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1:13" s="65" customFormat="1">
      <c r="A23" s="63" t="s">
        <v>12</v>
      </c>
      <c r="B23" s="66">
        <v>45658</v>
      </c>
      <c r="C23" s="66">
        <v>45689</v>
      </c>
      <c r="D23" s="66">
        <v>45717</v>
      </c>
      <c r="E23" s="66">
        <v>45748</v>
      </c>
      <c r="F23" s="66">
        <v>45778</v>
      </c>
      <c r="G23" s="66">
        <v>45809</v>
      </c>
      <c r="H23" s="66">
        <v>45839</v>
      </c>
      <c r="I23" s="66">
        <v>45870</v>
      </c>
      <c r="J23" s="66">
        <v>45901</v>
      </c>
      <c r="K23" s="66">
        <v>45931</v>
      </c>
      <c r="L23" s="66">
        <v>45962</v>
      </c>
      <c r="M23" s="66">
        <v>45992</v>
      </c>
    </row>
    <row r="24" spans="1:13" s="60" customFormat="1">
      <c r="A24" s="55" t="s">
        <v>9</v>
      </c>
      <c r="B24" s="59">
        <f t="shared" ref="B24:M26" si="4">ROUND(B17,2)</f>
        <v>800357.5</v>
      </c>
      <c r="C24" s="59">
        <f t="shared" si="4"/>
        <v>813896</v>
      </c>
      <c r="D24" s="59">
        <f t="shared" si="4"/>
        <v>1010881.5</v>
      </c>
      <c r="E24" s="59">
        <f t="shared" si="4"/>
        <v>764150</v>
      </c>
      <c r="F24" s="59">
        <f t="shared" si="4"/>
        <v>716632</v>
      </c>
      <c r="G24" s="59">
        <f t="shared" si="4"/>
        <v>1009805.5</v>
      </c>
      <c r="H24" s="59">
        <f t="shared" si="4"/>
        <v>767561</v>
      </c>
      <c r="I24" s="59">
        <f t="shared" si="4"/>
        <v>1033548</v>
      </c>
      <c r="J24" s="59">
        <f t="shared" si="4"/>
        <v>818253</v>
      </c>
      <c r="K24" s="59">
        <f t="shared" si="4"/>
        <v>818253</v>
      </c>
      <c r="L24" s="59">
        <f t="shared" si="4"/>
        <v>1033548</v>
      </c>
      <c r="M24" s="59">
        <f t="shared" si="4"/>
        <v>818253</v>
      </c>
    </row>
    <row r="25" spans="1:13" s="60" customFormat="1">
      <c r="A25" s="55" t="s">
        <v>10</v>
      </c>
      <c r="B25" s="59">
        <f t="shared" si="4"/>
        <v>1338805.3999999999</v>
      </c>
      <c r="C25" s="59">
        <f t="shared" si="4"/>
        <v>1315643.83</v>
      </c>
      <c r="D25" s="59">
        <f t="shared" si="4"/>
        <v>1693395.67</v>
      </c>
      <c r="E25" s="59">
        <f t="shared" si="4"/>
        <v>1339148.6299999999</v>
      </c>
      <c r="F25" s="59">
        <f t="shared" si="4"/>
        <v>1285726.45</v>
      </c>
      <c r="G25" s="59">
        <f t="shared" si="4"/>
        <v>1708019.98</v>
      </c>
      <c r="H25" s="59">
        <f t="shared" si="4"/>
        <v>1415756.11</v>
      </c>
      <c r="I25" s="59">
        <f t="shared" si="4"/>
        <v>1759828.24</v>
      </c>
      <c r="J25" s="59">
        <f t="shared" si="4"/>
        <v>1344679.23</v>
      </c>
      <c r="K25" s="59">
        <f t="shared" si="4"/>
        <v>1289461.25</v>
      </c>
      <c r="L25" s="59">
        <f t="shared" si="4"/>
        <v>1734735.59</v>
      </c>
      <c r="M25" s="59">
        <f t="shared" si="4"/>
        <v>1340551.6000000001</v>
      </c>
    </row>
    <row r="26" spans="1:13" s="60" customFormat="1">
      <c r="A26" s="55" t="s">
        <v>11</v>
      </c>
      <c r="B26" s="59">
        <f t="shared" si="4"/>
        <v>77000</v>
      </c>
      <c r="C26" s="59">
        <f t="shared" si="4"/>
        <v>37000</v>
      </c>
      <c r="D26" s="59">
        <f t="shared" si="4"/>
        <v>44000</v>
      </c>
      <c r="E26" s="59">
        <f t="shared" si="4"/>
        <v>37000</v>
      </c>
      <c r="F26" s="59">
        <f t="shared" si="4"/>
        <v>37200</v>
      </c>
      <c r="G26" s="59">
        <f t="shared" si="4"/>
        <v>43800</v>
      </c>
      <c r="H26" s="59">
        <f t="shared" si="4"/>
        <v>37000</v>
      </c>
      <c r="I26" s="59">
        <f t="shared" si="4"/>
        <v>40000</v>
      </c>
      <c r="J26" s="59">
        <f t="shared" si="4"/>
        <v>41000</v>
      </c>
      <c r="K26" s="59">
        <f t="shared" si="4"/>
        <v>39000</v>
      </c>
      <c r="L26" s="59">
        <f t="shared" si="4"/>
        <v>42800</v>
      </c>
      <c r="M26" s="59">
        <f t="shared" si="4"/>
        <v>43000</v>
      </c>
    </row>
    <row r="27" spans="1:13" s="72" customFormat="1">
      <c r="A27" s="70"/>
      <c r="B27" s="71">
        <f t="shared" ref="B27:M27" si="5">SUM(B24:B26)</f>
        <v>2216162.9</v>
      </c>
      <c r="C27" s="71">
        <f t="shared" si="5"/>
        <v>2166539.83</v>
      </c>
      <c r="D27" s="71">
        <f t="shared" si="5"/>
        <v>2748277.17</v>
      </c>
      <c r="E27" s="71">
        <f t="shared" si="5"/>
        <v>2140298.63</v>
      </c>
      <c r="F27" s="71">
        <f t="shared" si="5"/>
        <v>2039558.45</v>
      </c>
      <c r="G27" s="71">
        <f t="shared" si="5"/>
        <v>2761625.48</v>
      </c>
      <c r="H27" s="71">
        <f t="shared" si="5"/>
        <v>2220317.1100000003</v>
      </c>
      <c r="I27" s="71">
        <f t="shared" si="5"/>
        <v>2833376.24</v>
      </c>
      <c r="J27" s="71">
        <f t="shared" si="5"/>
        <v>2203932.23</v>
      </c>
      <c r="K27" s="71">
        <f t="shared" si="5"/>
        <v>2146714.25</v>
      </c>
      <c r="L27" s="71">
        <f t="shared" si="5"/>
        <v>2811083.59</v>
      </c>
      <c r="M27" s="71">
        <f t="shared" si="5"/>
        <v>2201804.6</v>
      </c>
    </row>
    <row r="30" spans="1:13" s="65" customFormat="1">
      <c r="A30" s="63" t="s">
        <v>13</v>
      </c>
      <c r="B30" s="66">
        <v>45658</v>
      </c>
      <c r="C30" s="66">
        <v>45689</v>
      </c>
      <c r="D30" s="66">
        <v>45717</v>
      </c>
      <c r="E30" s="66">
        <v>45748</v>
      </c>
      <c r="F30" s="66">
        <v>45778</v>
      </c>
      <c r="G30" s="66">
        <v>45809</v>
      </c>
      <c r="H30" s="66">
        <v>45839</v>
      </c>
      <c r="I30" s="66">
        <v>45870</v>
      </c>
      <c r="J30" s="66">
        <v>45901</v>
      </c>
      <c r="K30" s="66">
        <v>45931</v>
      </c>
      <c r="L30" s="66">
        <v>45962</v>
      </c>
      <c r="M30" s="66">
        <v>45992</v>
      </c>
    </row>
    <row r="31" spans="1:13">
      <c r="A31" s="1" t="s">
        <v>9</v>
      </c>
      <c r="B31" s="61">
        <f t="shared" ref="B31:M33" si="6">B24</f>
        <v>800357.5</v>
      </c>
      <c r="C31" s="61">
        <f t="shared" si="6"/>
        <v>813896</v>
      </c>
      <c r="D31" s="61">
        <f t="shared" si="6"/>
        <v>1010881.5</v>
      </c>
      <c r="E31" s="61">
        <f t="shared" si="6"/>
        <v>764150</v>
      </c>
      <c r="F31" s="61">
        <f t="shared" si="6"/>
        <v>716632</v>
      </c>
      <c r="G31" s="61">
        <f t="shared" si="6"/>
        <v>1009805.5</v>
      </c>
      <c r="H31" s="61">
        <f t="shared" si="6"/>
        <v>767561</v>
      </c>
      <c r="I31" s="61">
        <f t="shared" si="6"/>
        <v>1033548</v>
      </c>
      <c r="J31" s="61">
        <f t="shared" si="6"/>
        <v>818253</v>
      </c>
      <c r="K31" s="61">
        <f t="shared" si="6"/>
        <v>818253</v>
      </c>
      <c r="L31" s="61">
        <f t="shared" si="6"/>
        <v>1033548</v>
      </c>
      <c r="M31" s="61">
        <f t="shared" si="6"/>
        <v>818253</v>
      </c>
    </row>
    <row r="32" spans="1:13">
      <c r="A32" s="1" t="s">
        <v>10</v>
      </c>
      <c r="B32" s="61">
        <f t="shared" si="6"/>
        <v>1338805.3999999999</v>
      </c>
      <c r="C32" s="61">
        <f t="shared" si="6"/>
        <v>1315643.83</v>
      </c>
      <c r="D32" s="61">
        <f t="shared" si="6"/>
        <v>1693395.67</v>
      </c>
      <c r="E32" s="61">
        <f t="shared" si="6"/>
        <v>1339148.6299999999</v>
      </c>
      <c r="F32" s="61">
        <f t="shared" si="6"/>
        <v>1285726.45</v>
      </c>
      <c r="G32" s="61">
        <f t="shared" si="6"/>
        <v>1708019.98</v>
      </c>
      <c r="H32" s="61">
        <f t="shared" si="6"/>
        <v>1415756.11</v>
      </c>
      <c r="I32" s="61">
        <f t="shared" si="6"/>
        <v>1759828.24</v>
      </c>
      <c r="J32" s="61">
        <f t="shared" si="6"/>
        <v>1344679.23</v>
      </c>
      <c r="K32" s="61">
        <f t="shared" si="6"/>
        <v>1289461.25</v>
      </c>
      <c r="L32" s="61">
        <f t="shared" si="6"/>
        <v>1734735.59</v>
      </c>
      <c r="M32" s="61">
        <f t="shared" si="6"/>
        <v>1340551.6000000001</v>
      </c>
    </row>
    <row r="33" spans="1:13">
      <c r="A33" s="1" t="s">
        <v>11</v>
      </c>
      <c r="B33" s="61">
        <f t="shared" si="6"/>
        <v>77000</v>
      </c>
      <c r="C33" s="61">
        <f t="shared" si="6"/>
        <v>37000</v>
      </c>
      <c r="D33" s="61">
        <f t="shared" si="6"/>
        <v>44000</v>
      </c>
      <c r="E33" s="61">
        <f t="shared" si="6"/>
        <v>37000</v>
      </c>
      <c r="F33" s="61">
        <f t="shared" si="6"/>
        <v>37200</v>
      </c>
      <c r="G33" s="61">
        <f t="shared" si="6"/>
        <v>43800</v>
      </c>
      <c r="H33" s="61">
        <f t="shared" si="6"/>
        <v>37000</v>
      </c>
      <c r="I33" s="61">
        <f t="shared" si="6"/>
        <v>40000</v>
      </c>
      <c r="J33" s="61">
        <f t="shared" si="6"/>
        <v>41000</v>
      </c>
      <c r="K33" s="61">
        <f t="shared" si="6"/>
        <v>39000</v>
      </c>
      <c r="L33" s="61">
        <f t="shared" si="6"/>
        <v>42800</v>
      </c>
      <c r="M33" s="61">
        <f t="shared" si="6"/>
        <v>43000</v>
      </c>
    </row>
    <row r="34" spans="1:13" s="62" customFormat="1">
      <c r="A34" s="73"/>
      <c r="B34" s="74">
        <f t="shared" ref="B34:M34" si="7">SUM(B31:B33)</f>
        <v>2216162.9</v>
      </c>
      <c r="C34" s="74">
        <f t="shared" si="7"/>
        <v>2166539.83</v>
      </c>
      <c r="D34" s="74">
        <f t="shared" si="7"/>
        <v>2748277.17</v>
      </c>
      <c r="E34" s="74">
        <f t="shared" si="7"/>
        <v>2140298.63</v>
      </c>
      <c r="F34" s="74">
        <f t="shared" si="7"/>
        <v>2039558.45</v>
      </c>
      <c r="G34" s="74">
        <f t="shared" si="7"/>
        <v>2761625.48</v>
      </c>
      <c r="H34" s="74">
        <f t="shared" si="7"/>
        <v>2220317.1100000003</v>
      </c>
      <c r="I34" s="74">
        <f t="shared" si="7"/>
        <v>2833376.24</v>
      </c>
      <c r="J34" s="74">
        <f t="shared" si="7"/>
        <v>2203932.23</v>
      </c>
      <c r="K34" s="74">
        <f t="shared" si="7"/>
        <v>2146714.25</v>
      </c>
      <c r="L34" s="74">
        <f t="shared" si="7"/>
        <v>2811083.59</v>
      </c>
      <c r="M34" s="74">
        <f t="shared" si="7"/>
        <v>2201804.6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04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J25" sqref="J25"/>
    </sheetView>
  </sheetViews>
  <sheetFormatPr defaultColWidth="9" defaultRowHeight="15"/>
  <cols>
    <col min="1" max="1" width="13.21875" style="28" bestFit="1" customWidth="1"/>
    <col min="2" max="2" width="13.77734375" style="28" bestFit="1" customWidth="1"/>
    <col min="3" max="4" width="15.44140625" style="28" bestFit="1" customWidth="1"/>
    <col min="5" max="5" width="32.21875" style="28" customWidth="1"/>
    <col min="6" max="6" width="21.21875" style="47" bestFit="1" customWidth="1"/>
    <col min="7" max="7" width="28.21875" style="47" bestFit="1" customWidth="1"/>
    <col min="8" max="8" width="11.21875" style="28" customWidth="1"/>
    <col min="9" max="9" width="24.33203125" style="109" customWidth="1"/>
    <col min="10" max="10" width="22" style="28" customWidth="1"/>
    <col min="11" max="11" width="27.109375" style="28" customWidth="1"/>
    <col min="12" max="12" width="17.44140625" style="28" customWidth="1"/>
    <col min="13" max="13" width="22.44140625" style="28" customWidth="1"/>
    <col min="14" max="14" width="15.5546875" style="28" customWidth="1"/>
    <col min="15" max="15" width="16" style="28" customWidth="1"/>
    <col min="16" max="16" width="16.44140625" style="28" bestFit="1" customWidth="1"/>
    <col min="17" max="17" width="15.5546875" style="28" bestFit="1" customWidth="1"/>
    <col min="18" max="18" width="16.5546875" style="28" bestFit="1" customWidth="1"/>
    <col min="19" max="19" width="16" style="28" bestFit="1" customWidth="1"/>
    <col min="20" max="20" width="15.44140625" style="28" bestFit="1" customWidth="1"/>
    <col min="21" max="22" width="16.44140625" style="28" bestFit="1" customWidth="1"/>
    <col min="23" max="23" width="15.5546875" style="28" bestFit="1" customWidth="1"/>
    <col min="24" max="24" width="16.44140625" style="28" bestFit="1" customWidth="1"/>
    <col min="25" max="25" width="16" style="28" bestFit="1" customWidth="1"/>
    <col min="26" max="26" width="54.21875" style="28" bestFit="1" customWidth="1"/>
    <col min="27" max="27" width="21.5546875" style="28" customWidth="1"/>
    <col min="28" max="28" width="22" style="28" customWidth="1"/>
    <col min="29" max="29" width="22.44140625" style="28" customWidth="1"/>
    <col min="30" max="30" width="21.5546875" style="28" customWidth="1"/>
    <col min="31" max="31" width="22.5546875" style="28" customWidth="1"/>
    <col min="32" max="32" width="23.5546875" style="28" customWidth="1"/>
    <col min="33" max="34" width="22.5546875" style="28" customWidth="1"/>
    <col min="35" max="35" width="22.44140625" style="28" customWidth="1"/>
    <col min="36" max="36" width="21.5546875" style="28" customWidth="1"/>
    <col min="37" max="37" width="22.44140625" style="28" customWidth="1"/>
    <col min="38" max="38" width="22" style="28" customWidth="1"/>
    <col min="39" max="39" width="24" style="28" customWidth="1"/>
    <col min="40" max="16384" width="9" style="28"/>
  </cols>
  <sheetData>
    <row r="1" spans="1:39" ht="15.6">
      <c r="A1" s="51" t="s">
        <v>25</v>
      </c>
      <c r="B1" s="52" t="s">
        <v>14</v>
      </c>
      <c r="C1" s="52" t="s">
        <v>15</v>
      </c>
      <c r="D1" s="52" t="s">
        <v>776</v>
      </c>
      <c r="E1" s="52" t="s">
        <v>16</v>
      </c>
      <c r="F1" s="52" t="s">
        <v>17</v>
      </c>
      <c r="G1" s="52" t="s">
        <v>18</v>
      </c>
      <c r="H1" s="52" t="s">
        <v>19</v>
      </c>
      <c r="I1" s="52" t="s">
        <v>545</v>
      </c>
      <c r="J1" s="52" t="s">
        <v>20</v>
      </c>
      <c r="K1" s="52" t="s">
        <v>21</v>
      </c>
      <c r="L1" s="52" t="s">
        <v>22</v>
      </c>
      <c r="M1" s="52" t="s">
        <v>23</v>
      </c>
      <c r="N1" s="53">
        <v>46023</v>
      </c>
      <c r="O1" s="53">
        <v>46054</v>
      </c>
      <c r="P1" s="49">
        <v>46082</v>
      </c>
      <c r="Q1" s="53">
        <v>46113</v>
      </c>
      <c r="R1" s="53">
        <v>46143</v>
      </c>
      <c r="S1" s="49">
        <v>46174</v>
      </c>
      <c r="T1" s="53">
        <v>46204</v>
      </c>
      <c r="U1" s="49">
        <v>46235</v>
      </c>
      <c r="V1" s="53">
        <v>46266</v>
      </c>
      <c r="W1" s="53">
        <v>46296</v>
      </c>
      <c r="X1" s="49">
        <v>46327</v>
      </c>
      <c r="Y1" s="53">
        <v>46357</v>
      </c>
      <c r="Z1" s="26" t="s">
        <v>24</v>
      </c>
      <c r="AA1" s="25" t="s">
        <v>647</v>
      </c>
      <c r="AB1" s="25" t="s">
        <v>648</v>
      </c>
      <c r="AC1" s="50" t="s">
        <v>649</v>
      </c>
      <c r="AD1" s="25" t="s">
        <v>650</v>
      </c>
      <c r="AE1" s="25" t="s">
        <v>651</v>
      </c>
      <c r="AF1" s="50" t="s">
        <v>652</v>
      </c>
      <c r="AG1" s="25" t="s">
        <v>653</v>
      </c>
      <c r="AH1" s="50" t="s">
        <v>654</v>
      </c>
      <c r="AI1" s="25" t="s">
        <v>655</v>
      </c>
      <c r="AJ1" s="25" t="s">
        <v>656</v>
      </c>
      <c r="AK1" s="50" t="s">
        <v>657</v>
      </c>
      <c r="AL1" s="25" t="s">
        <v>658</v>
      </c>
      <c r="AM1" s="27" t="s">
        <v>730</v>
      </c>
    </row>
    <row r="2" spans="1:39" ht="15.6">
      <c r="A2" s="29" t="s">
        <v>25</v>
      </c>
      <c r="B2" s="30" t="s">
        <v>26</v>
      </c>
      <c r="C2" s="31" t="s">
        <v>53</v>
      </c>
      <c r="D2" s="31" t="s">
        <v>803</v>
      </c>
      <c r="E2" s="32" t="s">
        <v>54</v>
      </c>
      <c r="F2" s="30" t="s">
        <v>29</v>
      </c>
      <c r="G2" s="33" t="s">
        <v>35</v>
      </c>
      <c r="H2" s="30">
        <v>9</v>
      </c>
      <c r="I2" s="108">
        <v>61</v>
      </c>
      <c r="J2" s="31" t="s">
        <v>55</v>
      </c>
      <c r="K2" s="31" t="s">
        <v>56</v>
      </c>
      <c r="L2" s="31" t="s">
        <v>34</v>
      </c>
      <c r="M2" s="35" t="s">
        <v>1</v>
      </c>
      <c r="N2" s="36">
        <v>174.6</v>
      </c>
      <c r="O2" s="36">
        <v>165.87</v>
      </c>
      <c r="P2" s="36">
        <v>200.79</v>
      </c>
      <c r="Q2" s="36">
        <v>174.6</v>
      </c>
      <c r="R2" s="36">
        <v>165.87</v>
      </c>
      <c r="S2" s="36">
        <v>209.51999999999998</v>
      </c>
      <c r="T2" s="36">
        <v>174.6</v>
      </c>
      <c r="U2" s="36">
        <v>218.25</v>
      </c>
      <c r="V2" s="36">
        <v>165.87</v>
      </c>
      <c r="W2" s="36">
        <v>157.13999999999999</v>
      </c>
      <c r="X2" s="36">
        <v>209.51999999999998</v>
      </c>
      <c r="Y2" s="36">
        <v>165.87</v>
      </c>
      <c r="Z2" s="85"/>
      <c r="AA2" s="37">
        <f t="shared" ref="AA2:AL2" si="0">$I2*N2</f>
        <v>10650.6</v>
      </c>
      <c r="AB2" s="37">
        <f t="shared" si="0"/>
        <v>10118.07</v>
      </c>
      <c r="AC2" s="37">
        <f t="shared" si="0"/>
        <v>12248.189999999999</v>
      </c>
      <c r="AD2" s="37">
        <f t="shared" si="0"/>
        <v>10650.6</v>
      </c>
      <c r="AE2" s="37">
        <f t="shared" si="0"/>
        <v>10118.07</v>
      </c>
      <c r="AF2" s="37">
        <f t="shared" si="0"/>
        <v>12780.72</v>
      </c>
      <c r="AG2" s="37">
        <f t="shared" si="0"/>
        <v>10650.6</v>
      </c>
      <c r="AH2" s="37">
        <f t="shared" si="0"/>
        <v>13313.25</v>
      </c>
      <c r="AI2" s="37">
        <f t="shared" si="0"/>
        <v>10118.07</v>
      </c>
      <c r="AJ2" s="37">
        <f t="shared" si="0"/>
        <v>9585.5399999999991</v>
      </c>
      <c r="AK2" s="37">
        <f t="shared" si="0"/>
        <v>12780.72</v>
      </c>
      <c r="AL2" s="37">
        <f t="shared" si="0"/>
        <v>10118.07</v>
      </c>
      <c r="AM2" s="93">
        <v>1</v>
      </c>
    </row>
    <row r="3" spans="1:39" ht="15.6">
      <c r="A3" s="29" t="s">
        <v>25</v>
      </c>
      <c r="B3" s="30" t="s">
        <v>26</v>
      </c>
      <c r="C3" s="132" t="s">
        <v>1224</v>
      </c>
      <c r="D3" s="132" t="s">
        <v>1223</v>
      </c>
      <c r="E3" s="32" t="s">
        <v>1225</v>
      </c>
      <c r="F3" s="30" t="s">
        <v>29</v>
      </c>
      <c r="G3" s="33" t="s">
        <v>35</v>
      </c>
      <c r="H3" s="30">
        <v>9</v>
      </c>
      <c r="I3" s="108">
        <v>61</v>
      </c>
      <c r="J3" s="31" t="s">
        <v>55</v>
      </c>
      <c r="K3" s="31" t="s">
        <v>56</v>
      </c>
      <c r="L3" s="31" t="s">
        <v>34</v>
      </c>
      <c r="M3" s="35" t="s">
        <v>1</v>
      </c>
      <c r="N3" s="36"/>
      <c r="O3" s="36"/>
      <c r="P3" s="36"/>
      <c r="Q3" s="36"/>
      <c r="R3" s="36"/>
      <c r="S3" s="36">
        <v>209.51999999999998</v>
      </c>
      <c r="T3" s="36">
        <v>174.6</v>
      </c>
      <c r="U3" s="36">
        <v>218.25</v>
      </c>
      <c r="V3" s="36">
        <v>165.87</v>
      </c>
      <c r="W3" s="36">
        <v>157.13999999999999</v>
      </c>
      <c r="X3" s="36">
        <v>209.51999999999998</v>
      </c>
      <c r="Y3" s="36">
        <v>165.87</v>
      </c>
      <c r="Z3" s="38"/>
      <c r="AA3" s="37">
        <f t="shared" ref="AA3:AL8" si="1">$I3*N3</f>
        <v>0</v>
      </c>
      <c r="AB3" s="37">
        <f t="shared" ref="AB3" si="2">$I3*O3</f>
        <v>0</v>
      </c>
      <c r="AC3" s="37">
        <f t="shared" ref="AC3" si="3">$I3*P3</f>
        <v>0</v>
      </c>
      <c r="AD3" s="37">
        <f t="shared" ref="AD3" si="4">$I3*Q3</f>
        <v>0</v>
      </c>
      <c r="AE3" s="37">
        <f t="shared" ref="AE3" si="5">$I3*R3</f>
        <v>0</v>
      </c>
      <c r="AF3" s="37">
        <f t="shared" ref="AF3" si="6">$I3*S3</f>
        <v>12780.72</v>
      </c>
      <c r="AG3" s="37">
        <f t="shared" ref="AG3" si="7">$I3*T3</f>
        <v>10650.6</v>
      </c>
      <c r="AH3" s="37">
        <f t="shared" ref="AH3" si="8">$I3*U3</f>
        <v>13313.25</v>
      </c>
      <c r="AI3" s="37">
        <f t="shared" ref="AI3" si="9">$I3*V3</f>
        <v>10118.07</v>
      </c>
      <c r="AJ3" s="37">
        <f t="shared" ref="AJ3" si="10">$I3*W3</f>
        <v>9585.5399999999991</v>
      </c>
      <c r="AK3" s="37">
        <f t="shared" ref="AK3" si="11">$I3*X3</f>
        <v>12780.72</v>
      </c>
      <c r="AL3" s="37">
        <f t="shared" ref="AL3" si="12">$I3*Y3</f>
        <v>10118.07</v>
      </c>
      <c r="AM3" s="94">
        <v>1</v>
      </c>
    </row>
    <row r="4" spans="1:39" ht="15.6">
      <c r="A4" s="29" t="s">
        <v>25</v>
      </c>
      <c r="B4" s="30" t="s">
        <v>26</v>
      </c>
      <c r="C4" s="31" t="s">
        <v>57</v>
      </c>
      <c r="D4" s="31" t="s">
        <v>804</v>
      </c>
      <c r="E4" s="32" t="s">
        <v>45</v>
      </c>
      <c r="F4" s="30" t="s">
        <v>29</v>
      </c>
      <c r="G4" s="33" t="s">
        <v>35</v>
      </c>
      <c r="H4" s="30">
        <v>8</v>
      </c>
      <c r="I4" s="108">
        <v>41</v>
      </c>
      <c r="J4" s="31" t="s">
        <v>55</v>
      </c>
      <c r="K4" s="31" t="s">
        <v>56</v>
      </c>
      <c r="L4" s="31" t="s">
        <v>34</v>
      </c>
      <c r="M4" s="35" t="s">
        <v>1</v>
      </c>
      <c r="N4" s="36">
        <v>174.6</v>
      </c>
      <c r="O4" s="36">
        <v>165.87</v>
      </c>
      <c r="P4" s="36">
        <v>200.79</v>
      </c>
      <c r="Q4" s="36">
        <v>174.6</v>
      </c>
      <c r="R4" s="36">
        <v>165.87</v>
      </c>
      <c r="S4" s="36">
        <v>209.51999999999998</v>
      </c>
      <c r="T4" s="36">
        <v>174.6</v>
      </c>
      <c r="U4" s="36">
        <v>218.25</v>
      </c>
      <c r="V4" s="36">
        <v>165.87</v>
      </c>
      <c r="W4" s="36">
        <v>157.13999999999999</v>
      </c>
      <c r="X4" s="36">
        <v>209.51999999999998</v>
      </c>
      <c r="Y4" s="36">
        <v>165.87</v>
      </c>
      <c r="Z4" s="38"/>
      <c r="AA4" s="37">
        <f t="shared" ref="AA4:AL4" si="13">$I4*N4</f>
        <v>7158.5999999999995</v>
      </c>
      <c r="AB4" s="37">
        <f t="shared" si="13"/>
        <v>6800.67</v>
      </c>
      <c r="AC4" s="37">
        <f t="shared" si="13"/>
        <v>8232.39</v>
      </c>
      <c r="AD4" s="37">
        <f t="shared" si="13"/>
        <v>7158.5999999999995</v>
      </c>
      <c r="AE4" s="37">
        <f t="shared" si="13"/>
        <v>6800.67</v>
      </c>
      <c r="AF4" s="37">
        <f t="shared" si="13"/>
        <v>8590.32</v>
      </c>
      <c r="AG4" s="37">
        <f t="shared" si="13"/>
        <v>7158.5999999999995</v>
      </c>
      <c r="AH4" s="37">
        <f t="shared" si="13"/>
        <v>8948.25</v>
      </c>
      <c r="AI4" s="37">
        <f t="shared" si="13"/>
        <v>6800.67</v>
      </c>
      <c r="AJ4" s="37">
        <f t="shared" si="13"/>
        <v>6442.74</v>
      </c>
      <c r="AK4" s="37">
        <f t="shared" si="13"/>
        <v>8590.32</v>
      </c>
      <c r="AL4" s="37">
        <f t="shared" si="13"/>
        <v>6800.67</v>
      </c>
      <c r="AM4" s="93">
        <v>1</v>
      </c>
    </row>
    <row r="5" spans="1:39" ht="15.6">
      <c r="A5" s="29" t="s">
        <v>25</v>
      </c>
      <c r="B5" s="30" t="s">
        <v>26</v>
      </c>
      <c r="C5" s="31" t="s">
        <v>1228</v>
      </c>
      <c r="D5" s="31" t="s">
        <v>1227</v>
      </c>
      <c r="E5" s="32" t="s">
        <v>1226</v>
      </c>
      <c r="F5" s="30" t="s">
        <v>29</v>
      </c>
      <c r="G5" s="33" t="s">
        <v>35</v>
      </c>
      <c r="H5" s="30">
        <v>8</v>
      </c>
      <c r="I5" s="108">
        <v>41</v>
      </c>
      <c r="J5" s="31" t="s">
        <v>55</v>
      </c>
      <c r="K5" s="31" t="s">
        <v>56</v>
      </c>
      <c r="L5" s="31" t="s">
        <v>34</v>
      </c>
      <c r="M5" s="35" t="s">
        <v>1</v>
      </c>
      <c r="N5" s="36"/>
      <c r="O5" s="36"/>
      <c r="P5" s="36"/>
      <c r="Q5" s="36"/>
      <c r="R5" s="36"/>
      <c r="S5" s="36">
        <v>150</v>
      </c>
      <c r="T5" s="36">
        <v>174.6</v>
      </c>
      <c r="U5" s="36">
        <v>218.25</v>
      </c>
      <c r="V5" s="36">
        <v>165.87</v>
      </c>
      <c r="W5" s="36">
        <v>157.13999999999999</v>
      </c>
      <c r="X5" s="36">
        <v>209.51999999999998</v>
      </c>
      <c r="Y5" s="36">
        <v>165.87</v>
      </c>
      <c r="Z5" s="38"/>
      <c r="AA5" s="37">
        <f t="shared" ref="AA5:AA7" si="14">$I5*N5</f>
        <v>0</v>
      </c>
      <c r="AB5" s="37">
        <f t="shared" ref="AB5:AB7" si="15">$I5*O5</f>
        <v>0</v>
      </c>
      <c r="AC5" s="37">
        <f t="shared" ref="AC5:AC7" si="16">$I5*P5</f>
        <v>0</v>
      </c>
      <c r="AD5" s="37">
        <f t="shared" ref="AD5:AD7" si="17">$I5*Q5</f>
        <v>0</v>
      </c>
      <c r="AE5" s="37">
        <f t="shared" ref="AE5:AE7" si="18">$I5*R5</f>
        <v>0</v>
      </c>
      <c r="AF5" s="37">
        <f t="shared" ref="AF5:AF7" si="19">$I5*S5</f>
        <v>6150</v>
      </c>
      <c r="AG5" s="37">
        <f t="shared" ref="AG5:AG7" si="20">$I5*T5</f>
        <v>7158.5999999999995</v>
      </c>
      <c r="AH5" s="37">
        <f t="shared" ref="AH5:AH7" si="21">$I5*U5</f>
        <v>8948.25</v>
      </c>
      <c r="AI5" s="37">
        <f t="shared" ref="AI5:AI7" si="22">$I5*V5</f>
        <v>6800.67</v>
      </c>
      <c r="AJ5" s="37">
        <f t="shared" ref="AJ5:AJ7" si="23">$I5*W5</f>
        <v>6442.74</v>
      </c>
      <c r="AK5" s="37">
        <f t="shared" ref="AK5:AK7" si="24">$I5*X5</f>
        <v>8590.32</v>
      </c>
      <c r="AL5" s="37">
        <f t="shared" ref="AL5:AL7" si="25">$I5*Y5</f>
        <v>6800.67</v>
      </c>
      <c r="AM5" s="94">
        <v>1</v>
      </c>
    </row>
    <row r="6" spans="1:39" ht="15.6">
      <c r="A6" s="29" t="s">
        <v>25</v>
      </c>
      <c r="B6" s="30" t="s">
        <v>26</v>
      </c>
      <c r="C6" s="31" t="s">
        <v>66</v>
      </c>
      <c r="D6" s="31" t="s">
        <v>805</v>
      </c>
      <c r="E6" s="32" t="s">
        <v>67</v>
      </c>
      <c r="F6" s="34" t="s">
        <v>68</v>
      </c>
      <c r="G6" s="33" t="s">
        <v>69</v>
      </c>
      <c r="H6" s="30">
        <v>8</v>
      </c>
      <c r="I6" s="108">
        <v>50.5</v>
      </c>
      <c r="J6" s="31" t="s">
        <v>55</v>
      </c>
      <c r="K6" s="31" t="s">
        <v>56</v>
      </c>
      <c r="L6" s="31" t="s">
        <v>34</v>
      </c>
      <c r="M6" s="35" t="s">
        <v>1</v>
      </c>
      <c r="N6" s="36">
        <v>42</v>
      </c>
      <c r="O6" s="36">
        <v>42</v>
      </c>
      <c r="P6" s="36">
        <v>55</v>
      </c>
      <c r="Q6" s="36">
        <v>38</v>
      </c>
      <c r="R6" s="36">
        <v>42</v>
      </c>
      <c r="S6" s="36">
        <v>53</v>
      </c>
      <c r="T6" s="36">
        <v>44</v>
      </c>
      <c r="U6" s="36">
        <v>51</v>
      </c>
      <c r="V6" s="36">
        <v>42</v>
      </c>
      <c r="W6" s="36">
        <v>44</v>
      </c>
      <c r="X6" s="36">
        <v>55</v>
      </c>
      <c r="Y6" s="36">
        <v>38</v>
      </c>
      <c r="Z6" s="31"/>
      <c r="AA6" s="37">
        <f t="shared" si="14"/>
        <v>2121</v>
      </c>
      <c r="AB6" s="37">
        <f t="shared" si="15"/>
        <v>2121</v>
      </c>
      <c r="AC6" s="37">
        <f t="shared" si="16"/>
        <v>2777.5</v>
      </c>
      <c r="AD6" s="37">
        <f t="shared" si="17"/>
        <v>1919</v>
      </c>
      <c r="AE6" s="37">
        <f t="shared" si="18"/>
        <v>2121</v>
      </c>
      <c r="AF6" s="37">
        <f t="shared" si="19"/>
        <v>2676.5</v>
      </c>
      <c r="AG6" s="37">
        <f t="shared" si="20"/>
        <v>2222</v>
      </c>
      <c r="AH6" s="37">
        <f t="shared" si="21"/>
        <v>2575.5</v>
      </c>
      <c r="AI6" s="37">
        <f t="shared" si="22"/>
        <v>2121</v>
      </c>
      <c r="AJ6" s="37">
        <f t="shared" si="23"/>
        <v>2222</v>
      </c>
      <c r="AK6" s="37">
        <f t="shared" si="24"/>
        <v>2777.5</v>
      </c>
      <c r="AL6" s="37">
        <f t="shared" si="25"/>
        <v>1919</v>
      </c>
      <c r="AM6" s="104">
        <v>0.25</v>
      </c>
    </row>
    <row r="7" spans="1:39" s="91" customFormat="1" ht="15.6">
      <c r="A7" s="87" t="s">
        <v>25</v>
      </c>
      <c r="B7" s="83" t="s">
        <v>26</v>
      </c>
      <c r="C7" s="85" t="s">
        <v>542</v>
      </c>
      <c r="D7" s="85" t="s">
        <v>806</v>
      </c>
      <c r="E7" s="88" t="s">
        <v>437</v>
      </c>
      <c r="F7" s="83" t="s">
        <v>29</v>
      </c>
      <c r="G7" s="83" t="s">
        <v>221</v>
      </c>
      <c r="H7" s="89">
        <v>8</v>
      </c>
      <c r="I7" s="108">
        <v>41</v>
      </c>
      <c r="J7" s="88" t="s">
        <v>473</v>
      </c>
      <c r="K7" s="38" t="s">
        <v>126</v>
      </c>
      <c r="L7" s="38" t="s">
        <v>34</v>
      </c>
      <c r="M7" s="90" t="s">
        <v>1</v>
      </c>
      <c r="N7" s="36">
        <v>174.6</v>
      </c>
      <c r="O7" s="36">
        <v>165.87</v>
      </c>
      <c r="P7" s="36">
        <v>200.79</v>
      </c>
      <c r="Q7" s="36">
        <v>44</v>
      </c>
      <c r="R7" s="36">
        <v>40</v>
      </c>
      <c r="S7" s="36">
        <v>51</v>
      </c>
      <c r="T7" s="36"/>
      <c r="U7" s="36"/>
      <c r="V7" s="36"/>
      <c r="W7" s="36"/>
      <c r="X7" s="36"/>
      <c r="Y7" s="36"/>
      <c r="Z7" s="117" t="s">
        <v>1165</v>
      </c>
      <c r="AA7" s="37">
        <f t="shared" si="14"/>
        <v>7158.5999999999995</v>
      </c>
      <c r="AB7" s="37">
        <f t="shared" si="15"/>
        <v>6800.67</v>
      </c>
      <c r="AC7" s="37">
        <f t="shared" si="16"/>
        <v>8232.39</v>
      </c>
      <c r="AD7" s="37">
        <f t="shared" si="17"/>
        <v>1804</v>
      </c>
      <c r="AE7" s="37">
        <f t="shared" si="18"/>
        <v>1640</v>
      </c>
      <c r="AF7" s="37">
        <f t="shared" si="19"/>
        <v>2091</v>
      </c>
      <c r="AG7" s="37">
        <f t="shared" si="20"/>
        <v>0</v>
      </c>
      <c r="AH7" s="37">
        <f t="shared" si="21"/>
        <v>0</v>
      </c>
      <c r="AI7" s="37">
        <f t="shared" si="22"/>
        <v>0</v>
      </c>
      <c r="AJ7" s="37">
        <f t="shared" si="23"/>
        <v>0</v>
      </c>
      <c r="AK7" s="37">
        <f t="shared" si="24"/>
        <v>0</v>
      </c>
      <c r="AL7" s="37">
        <f t="shared" si="25"/>
        <v>0</v>
      </c>
      <c r="AM7" s="104">
        <v>0.25</v>
      </c>
    </row>
    <row r="8" spans="1:39" s="91" customFormat="1" ht="15.6">
      <c r="A8" s="87" t="s">
        <v>25</v>
      </c>
      <c r="B8" s="83" t="s">
        <v>26</v>
      </c>
      <c r="C8" s="85"/>
      <c r="D8" s="85" t="s">
        <v>807</v>
      </c>
      <c r="E8" s="85"/>
      <c r="F8" s="83"/>
      <c r="G8" s="83"/>
      <c r="H8" s="89"/>
      <c r="I8" s="108"/>
      <c r="J8" s="88"/>
      <c r="K8" s="38"/>
      <c r="L8" s="88" t="s">
        <v>74</v>
      </c>
      <c r="M8" s="90" t="s">
        <v>2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118"/>
      <c r="AA8" s="119">
        <f t="shared" si="1"/>
        <v>0</v>
      </c>
      <c r="AB8" s="119">
        <f t="shared" si="1"/>
        <v>0</v>
      </c>
      <c r="AC8" s="119">
        <f t="shared" si="1"/>
        <v>0</v>
      </c>
      <c r="AD8" s="119">
        <f t="shared" si="1"/>
        <v>0</v>
      </c>
      <c r="AE8" s="119">
        <f t="shared" si="1"/>
        <v>0</v>
      </c>
      <c r="AF8" s="119">
        <f t="shared" si="1"/>
        <v>0</v>
      </c>
      <c r="AG8" s="119">
        <f t="shared" si="1"/>
        <v>0</v>
      </c>
      <c r="AH8" s="119">
        <f t="shared" si="1"/>
        <v>0</v>
      </c>
      <c r="AI8" s="119">
        <f t="shared" si="1"/>
        <v>0</v>
      </c>
      <c r="AJ8" s="119">
        <f t="shared" si="1"/>
        <v>0</v>
      </c>
      <c r="AK8" s="119">
        <f t="shared" si="1"/>
        <v>0</v>
      </c>
      <c r="AL8" s="119">
        <f t="shared" si="1"/>
        <v>0</v>
      </c>
      <c r="AM8" s="104"/>
    </row>
    <row r="9" spans="1:39" s="46" customFormat="1" ht="15.6">
      <c r="A9" s="39" t="s">
        <v>25</v>
      </c>
      <c r="B9" s="40" t="s">
        <v>26</v>
      </c>
      <c r="C9" s="41" t="s">
        <v>4</v>
      </c>
      <c r="D9" s="41" t="s">
        <v>4</v>
      </c>
      <c r="E9" s="41" t="s">
        <v>4</v>
      </c>
      <c r="F9" s="40" t="s">
        <v>4</v>
      </c>
      <c r="G9" s="40" t="s">
        <v>4</v>
      </c>
      <c r="H9" s="42"/>
      <c r="I9" s="108"/>
      <c r="J9" s="41" t="s">
        <v>4</v>
      </c>
      <c r="K9" s="41" t="s">
        <v>4</v>
      </c>
      <c r="L9" s="41" t="s">
        <v>4</v>
      </c>
      <c r="M9" s="41" t="s">
        <v>4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79"/>
      <c r="AA9" s="44">
        <f t="shared" ref="AA9:AL9" si="26">((SUMIFS(AA1:AA391, $B$1:$B$391,"P6TYZ", $F$1:$F$391,"India")*0.15)+SUMIFS(AA1:AA391, $B$1:$B$391,"P6TYZ", $F$1:$F$391,"PH")*0.15)</f>
        <v>4063.3199999999997</v>
      </c>
      <c r="AB9" s="44">
        <f t="shared" si="26"/>
        <v>3876.0614999999993</v>
      </c>
      <c r="AC9" s="44">
        <f t="shared" si="26"/>
        <v>4723.5704999999998</v>
      </c>
      <c r="AD9" s="44">
        <f t="shared" si="26"/>
        <v>3229.83</v>
      </c>
      <c r="AE9" s="44">
        <f t="shared" si="26"/>
        <v>3101.9609999999998</v>
      </c>
      <c r="AF9" s="44">
        <f t="shared" si="26"/>
        <v>6760.3889999999992</v>
      </c>
      <c r="AG9" s="44">
        <f t="shared" si="26"/>
        <v>5676.06</v>
      </c>
      <c r="AH9" s="44">
        <f t="shared" si="26"/>
        <v>7064.7749999999996</v>
      </c>
      <c r="AI9" s="44">
        <f t="shared" si="26"/>
        <v>5393.771999999999</v>
      </c>
      <c r="AJ9" s="44">
        <f t="shared" si="26"/>
        <v>5141.7839999999997</v>
      </c>
      <c r="AK9" s="44">
        <f t="shared" si="26"/>
        <v>6827.936999999999</v>
      </c>
      <c r="AL9" s="44">
        <f t="shared" si="26"/>
        <v>5363.4719999999998</v>
      </c>
      <c r="AM9" s="45"/>
    </row>
    <row r="10" spans="1:39" s="46" customFormat="1" ht="15.6">
      <c r="A10" s="39" t="s">
        <v>25</v>
      </c>
      <c r="B10" s="40" t="s">
        <v>26</v>
      </c>
      <c r="C10" s="41" t="s">
        <v>5</v>
      </c>
      <c r="D10" s="41" t="s">
        <v>5</v>
      </c>
      <c r="E10" s="41" t="s">
        <v>5</v>
      </c>
      <c r="F10" s="40" t="s">
        <v>5</v>
      </c>
      <c r="G10" s="40" t="s">
        <v>5</v>
      </c>
      <c r="H10" s="42"/>
      <c r="I10" s="108"/>
      <c r="J10" s="41" t="s">
        <v>5</v>
      </c>
      <c r="K10" s="41" t="s">
        <v>5</v>
      </c>
      <c r="L10" s="41" t="s">
        <v>5</v>
      </c>
      <c r="M10" s="41" t="s">
        <v>5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79"/>
      <c r="AA10" s="44">
        <v>1000</v>
      </c>
      <c r="AB10" s="44">
        <v>1000</v>
      </c>
      <c r="AC10" s="44">
        <v>1200</v>
      </c>
      <c r="AD10" s="44">
        <v>1000</v>
      </c>
      <c r="AE10" s="44">
        <v>1000</v>
      </c>
      <c r="AF10" s="44">
        <v>1200</v>
      </c>
      <c r="AG10" s="44">
        <v>1000</v>
      </c>
      <c r="AH10" s="44">
        <v>1200</v>
      </c>
      <c r="AI10" s="44">
        <v>1000</v>
      </c>
      <c r="AJ10" s="44">
        <v>1000</v>
      </c>
      <c r="AK10" s="44">
        <v>1200</v>
      </c>
      <c r="AL10" s="44">
        <v>1000</v>
      </c>
      <c r="AM10" s="45"/>
    </row>
    <row r="11" spans="1:39" s="46" customFormat="1" ht="15.6">
      <c r="A11" s="39" t="s">
        <v>25</v>
      </c>
      <c r="B11" s="40" t="s">
        <v>26</v>
      </c>
      <c r="C11" s="41" t="s">
        <v>6</v>
      </c>
      <c r="D11" s="41" t="s">
        <v>6</v>
      </c>
      <c r="E11" s="41" t="s">
        <v>6</v>
      </c>
      <c r="F11" s="40" t="s">
        <v>6</v>
      </c>
      <c r="G11" s="40" t="s">
        <v>6</v>
      </c>
      <c r="H11" s="42"/>
      <c r="I11" s="108"/>
      <c r="J11" s="41" t="s">
        <v>6</v>
      </c>
      <c r="K11" s="41" t="s">
        <v>6</v>
      </c>
      <c r="L11" s="41" t="s">
        <v>6</v>
      </c>
      <c r="M11" s="41" t="s">
        <v>6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79"/>
      <c r="AA11" s="44">
        <f>(54*5*4*0.6)</f>
        <v>648</v>
      </c>
      <c r="AB11" s="44">
        <f>(54*5*4*0.6)</f>
        <v>648</v>
      </c>
      <c r="AC11" s="44">
        <f>(54*5*5*0.6)</f>
        <v>810</v>
      </c>
      <c r="AD11" s="44">
        <f>(54*5*4*0.6)</f>
        <v>648</v>
      </c>
      <c r="AE11" s="44">
        <f>(54*5*4*0.6)</f>
        <v>648</v>
      </c>
      <c r="AF11" s="44">
        <f>(54*5*5*0.6)</f>
        <v>810</v>
      </c>
      <c r="AG11" s="44">
        <f>(54*5*4*0.6)</f>
        <v>648</v>
      </c>
      <c r="AH11" s="44">
        <f>(54*5*5*0.6)</f>
        <v>810</v>
      </c>
      <c r="AI11" s="44">
        <f>(54*5*4*0.6)</f>
        <v>648</v>
      </c>
      <c r="AJ11" s="44">
        <f>(54*5*4*0.6)</f>
        <v>648</v>
      </c>
      <c r="AK11" s="44">
        <f>(54*5*5*0.6)</f>
        <v>810</v>
      </c>
      <c r="AL11" s="44">
        <f>(54*5*4*0.6)</f>
        <v>648</v>
      </c>
      <c r="AM11" s="45"/>
    </row>
    <row r="12" spans="1:39" s="91" customFormat="1" ht="15.6">
      <c r="A12" s="87" t="s">
        <v>92</v>
      </c>
      <c r="B12" s="83" t="s">
        <v>466</v>
      </c>
      <c r="C12" s="88" t="s">
        <v>87</v>
      </c>
      <c r="D12" s="96" t="s">
        <v>808</v>
      </c>
      <c r="E12" s="88" t="s">
        <v>88</v>
      </c>
      <c r="F12" s="83" t="s">
        <v>29</v>
      </c>
      <c r="G12" s="89" t="s">
        <v>49</v>
      </c>
      <c r="H12" s="89" t="s">
        <v>60</v>
      </c>
      <c r="I12" s="108">
        <v>19</v>
      </c>
      <c r="J12" s="88" t="s">
        <v>61</v>
      </c>
      <c r="K12" s="38" t="s">
        <v>467</v>
      </c>
      <c r="L12" s="38" t="s">
        <v>34</v>
      </c>
      <c r="M12" s="90" t="s">
        <v>1</v>
      </c>
      <c r="N12" s="84">
        <v>165.87</v>
      </c>
      <c r="O12" s="84">
        <v>165.87</v>
      </c>
      <c r="P12" s="84">
        <v>209.51999999999998</v>
      </c>
      <c r="Q12" s="84">
        <v>174.6</v>
      </c>
      <c r="R12" s="84">
        <v>165.87</v>
      </c>
      <c r="S12" s="84">
        <v>200.79</v>
      </c>
      <c r="T12" s="84">
        <v>174.6</v>
      </c>
      <c r="U12" s="84">
        <v>218.25</v>
      </c>
      <c r="V12" s="84">
        <v>165.87</v>
      </c>
      <c r="W12" s="84">
        <v>157.13999999999999</v>
      </c>
      <c r="X12" s="84">
        <v>218.25</v>
      </c>
      <c r="Y12" s="84">
        <v>165.87</v>
      </c>
      <c r="Z12" s="88"/>
      <c r="AA12" s="37">
        <f t="shared" ref="AA12:AA16" si="27">$I12*N12</f>
        <v>3151.53</v>
      </c>
      <c r="AB12" s="37">
        <f t="shared" ref="AB12:AB16" si="28">$I12*O12</f>
        <v>3151.53</v>
      </c>
      <c r="AC12" s="37">
        <f t="shared" ref="AC12:AC16" si="29">$I12*P12</f>
        <v>3980.8799999999997</v>
      </c>
      <c r="AD12" s="37">
        <f t="shared" ref="AD12:AD16" si="30">$I12*Q12</f>
        <v>3317.4</v>
      </c>
      <c r="AE12" s="37">
        <f t="shared" ref="AE12:AE16" si="31">$I12*R12</f>
        <v>3151.53</v>
      </c>
      <c r="AF12" s="37">
        <f t="shared" ref="AF12:AF16" si="32">$I12*S12</f>
        <v>3815.0099999999998</v>
      </c>
      <c r="AG12" s="37">
        <f t="shared" ref="AG12:AG16" si="33">$I12*T12</f>
        <v>3317.4</v>
      </c>
      <c r="AH12" s="37">
        <f t="shared" ref="AH12:AH16" si="34">$I12*U12</f>
        <v>4146.75</v>
      </c>
      <c r="AI12" s="37">
        <f t="shared" ref="AI12:AI16" si="35">$I12*V12</f>
        <v>3151.53</v>
      </c>
      <c r="AJ12" s="37">
        <f t="shared" ref="AJ12:AJ16" si="36">$I12*W12</f>
        <v>2985.66</v>
      </c>
      <c r="AK12" s="37">
        <f t="shared" ref="AK12:AK16" si="37">$I12*X12</f>
        <v>4146.75</v>
      </c>
      <c r="AL12" s="37">
        <f t="shared" ref="AL12:AL16" si="38">$I12*Y12</f>
        <v>3151.53</v>
      </c>
      <c r="AM12" s="94">
        <v>1</v>
      </c>
    </row>
    <row r="13" spans="1:39" s="91" customFormat="1" ht="15.6">
      <c r="A13" s="87" t="s">
        <v>92</v>
      </c>
      <c r="B13" s="83" t="s">
        <v>466</v>
      </c>
      <c r="C13" s="95" t="s">
        <v>58</v>
      </c>
      <c r="D13" s="95" t="s">
        <v>809</v>
      </c>
      <c r="E13" s="88" t="s">
        <v>59</v>
      </c>
      <c r="F13" s="83" t="s">
        <v>29</v>
      </c>
      <c r="G13" s="89" t="s">
        <v>49</v>
      </c>
      <c r="H13" s="83" t="s">
        <v>60</v>
      </c>
      <c r="I13" s="108">
        <v>19</v>
      </c>
      <c r="J13" s="38" t="s">
        <v>61</v>
      </c>
      <c r="K13" s="38" t="s">
        <v>467</v>
      </c>
      <c r="L13" s="38" t="s">
        <v>34</v>
      </c>
      <c r="M13" s="90" t="s">
        <v>1</v>
      </c>
      <c r="N13" s="84">
        <v>165.87</v>
      </c>
      <c r="O13" s="84">
        <v>165.87</v>
      </c>
      <c r="P13" s="84">
        <v>209.51999999999998</v>
      </c>
      <c r="Q13" s="84">
        <v>174.6</v>
      </c>
      <c r="R13" s="84">
        <v>165.87</v>
      </c>
      <c r="S13" s="84">
        <v>200.79</v>
      </c>
      <c r="T13" s="84">
        <v>174.6</v>
      </c>
      <c r="U13" s="84">
        <v>218.25</v>
      </c>
      <c r="V13" s="84">
        <v>165.87</v>
      </c>
      <c r="W13" s="84">
        <v>157.13999999999999</v>
      </c>
      <c r="X13" s="84">
        <v>218.25</v>
      </c>
      <c r="Y13" s="84">
        <v>165.87</v>
      </c>
      <c r="Z13" s="38"/>
      <c r="AA13" s="37">
        <f t="shared" si="27"/>
        <v>3151.53</v>
      </c>
      <c r="AB13" s="37">
        <f t="shared" si="28"/>
        <v>3151.53</v>
      </c>
      <c r="AC13" s="37">
        <f t="shared" si="29"/>
        <v>3980.8799999999997</v>
      </c>
      <c r="AD13" s="37">
        <f t="shared" si="30"/>
        <v>3317.4</v>
      </c>
      <c r="AE13" s="37">
        <f t="shared" si="31"/>
        <v>3151.53</v>
      </c>
      <c r="AF13" s="37">
        <f t="shared" si="32"/>
        <v>3815.0099999999998</v>
      </c>
      <c r="AG13" s="37">
        <f t="shared" si="33"/>
        <v>3317.4</v>
      </c>
      <c r="AH13" s="37">
        <f t="shared" si="34"/>
        <v>4146.75</v>
      </c>
      <c r="AI13" s="37">
        <f t="shared" si="35"/>
        <v>3151.53</v>
      </c>
      <c r="AJ13" s="37">
        <f t="shared" si="36"/>
        <v>2985.66</v>
      </c>
      <c r="AK13" s="37">
        <f t="shared" si="37"/>
        <v>4146.75</v>
      </c>
      <c r="AL13" s="37">
        <f t="shared" si="38"/>
        <v>3151.53</v>
      </c>
      <c r="AM13" s="94">
        <v>1</v>
      </c>
    </row>
    <row r="14" spans="1:39" s="91" customFormat="1" ht="15.6">
      <c r="A14" s="87" t="s">
        <v>92</v>
      </c>
      <c r="B14" s="83" t="s">
        <v>466</v>
      </c>
      <c r="C14" s="88" t="s">
        <v>85</v>
      </c>
      <c r="D14" s="88" t="s">
        <v>810</v>
      </c>
      <c r="E14" s="88" t="s">
        <v>86</v>
      </c>
      <c r="F14" s="83" t="s">
        <v>72</v>
      </c>
      <c r="G14" s="83" t="s">
        <v>73</v>
      </c>
      <c r="H14" s="89">
        <v>7</v>
      </c>
      <c r="I14" s="108">
        <v>30.5</v>
      </c>
      <c r="J14" s="88" t="s">
        <v>61</v>
      </c>
      <c r="K14" s="38" t="s">
        <v>467</v>
      </c>
      <c r="L14" s="38" t="s">
        <v>74</v>
      </c>
      <c r="M14" s="90" t="s">
        <v>2</v>
      </c>
      <c r="N14" s="84">
        <v>152</v>
      </c>
      <c r="O14" s="84"/>
      <c r="P14" s="84"/>
      <c r="Q14" s="84">
        <v>160</v>
      </c>
      <c r="R14" s="84"/>
      <c r="S14" s="84"/>
      <c r="T14" s="84">
        <v>152</v>
      </c>
      <c r="U14" s="84">
        <v>192</v>
      </c>
      <c r="V14" s="84">
        <v>152</v>
      </c>
      <c r="W14" s="84">
        <v>152</v>
      </c>
      <c r="X14" s="84">
        <v>192</v>
      </c>
      <c r="Y14" s="84">
        <v>152</v>
      </c>
      <c r="Z14" s="88"/>
      <c r="AA14" s="37">
        <f t="shared" si="27"/>
        <v>4636</v>
      </c>
      <c r="AB14" s="37">
        <f t="shared" si="28"/>
        <v>0</v>
      </c>
      <c r="AC14" s="37">
        <f t="shared" si="29"/>
        <v>0</v>
      </c>
      <c r="AD14" s="37">
        <f t="shared" si="30"/>
        <v>4880</v>
      </c>
      <c r="AE14" s="37">
        <f t="shared" si="31"/>
        <v>0</v>
      </c>
      <c r="AF14" s="37">
        <f t="shared" si="32"/>
        <v>0</v>
      </c>
      <c r="AG14" s="37">
        <f t="shared" si="33"/>
        <v>4636</v>
      </c>
      <c r="AH14" s="37">
        <f t="shared" si="34"/>
        <v>5856</v>
      </c>
      <c r="AI14" s="37">
        <f t="shared" si="35"/>
        <v>4636</v>
      </c>
      <c r="AJ14" s="37">
        <f t="shared" si="36"/>
        <v>4636</v>
      </c>
      <c r="AK14" s="37">
        <f t="shared" si="37"/>
        <v>5856</v>
      </c>
      <c r="AL14" s="37">
        <f t="shared" si="38"/>
        <v>4636</v>
      </c>
      <c r="AM14" s="94">
        <v>1</v>
      </c>
    </row>
    <row r="15" spans="1:39" s="91" customFormat="1" ht="15.6">
      <c r="A15" s="87" t="s">
        <v>92</v>
      </c>
      <c r="B15" s="83" t="s">
        <v>466</v>
      </c>
      <c r="C15" s="88" t="s">
        <v>85</v>
      </c>
      <c r="D15" s="88" t="s">
        <v>810</v>
      </c>
      <c r="E15" s="88" t="s">
        <v>86</v>
      </c>
      <c r="F15" s="83" t="s">
        <v>29</v>
      </c>
      <c r="G15" s="83" t="s">
        <v>41</v>
      </c>
      <c r="H15" s="89">
        <v>7</v>
      </c>
      <c r="I15" s="108">
        <v>30.5</v>
      </c>
      <c r="J15" s="88" t="s">
        <v>61</v>
      </c>
      <c r="K15" s="38" t="s">
        <v>467</v>
      </c>
      <c r="L15" s="38" t="s">
        <v>74</v>
      </c>
      <c r="M15" s="90" t="s">
        <v>2</v>
      </c>
      <c r="N15" s="84"/>
      <c r="O15" s="84">
        <v>152</v>
      </c>
      <c r="P15" s="84">
        <f>210-54</f>
        <v>156</v>
      </c>
      <c r="Q15" s="84"/>
      <c r="R15" s="84">
        <v>166</v>
      </c>
      <c r="S15" s="84">
        <v>201</v>
      </c>
      <c r="T15" s="84"/>
      <c r="U15" s="84"/>
      <c r="V15" s="84"/>
      <c r="W15" s="84"/>
      <c r="X15" s="84"/>
      <c r="Y15" s="84"/>
      <c r="Z15" s="88"/>
      <c r="AA15" s="37">
        <f t="shared" si="27"/>
        <v>0</v>
      </c>
      <c r="AB15" s="37">
        <f t="shared" si="28"/>
        <v>4636</v>
      </c>
      <c r="AC15" s="37">
        <f t="shared" si="29"/>
        <v>4758</v>
      </c>
      <c r="AD15" s="37">
        <f t="shared" si="30"/>
        <v>0</v>
      </c>
      <c r="AE15" s="37">
        <f t="shared" si="31"/>
        <v>5063</v>
      </c>
      <c r="AF15" s="37">
        <f t="shared" si="32"/>
        <v>6130.5</v>
      </c>
      <c r="AG15" s="37">
        <f t="shared" si="33"/>
        <v>0</v>
      </c>
      <c r="AH15" s="37">
        <f t="shared" si="34"/>
        <v>0</v>
      </c>
      <c r="AI15" s="37">
        <f t="shared" si="35"/>
        <v>0</v>
      </c>
      <c r="AJ15" s="37">
        <f t="shared" si="36"/>
        <v>0</v>
      </c>
      <c r="AK15" s="37">
        <f t="shared" si="37"/>
        <v>0</v>
      </c>
      <c r="AL15" s="37">
        <f t="shared" si="38"/>
        <v>0</v>
      </c>
      <c r="AM15" s="94">
        <v>1</v>
      </c>
    </row>
    <row r="16" spans="1:39" s="91" customFormat="1" ht="15.6">
      <c r="A16" s="87" t="s">
        <v>92</v>
      </c>
      <c r="B16" s="83" t="s">
        <v>466</v>
      </c>
      <c r="C16" s="95"/>
      <c r="D16" s="95" t="s">
        <v>807</v>
      </c>
      <c r="E16" s="88"/>
      <c r="F16" s="83"/>
      <c r="G16" s="89"/>
      <c r="H16" s="83"/>
      <c r="I16" s="108"/>
      <c r="J16" s="38"/>
      <c r="K16" s="38"/>
      <c r="L16" s="88" t="s">
        <v>74</v>
      </c>
      <c r="M16" s="90" t="s">
        <v>2</v>
      </c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38"/>
      <c r="AA16" s="37">
        <f t="shared" si="27"/>
        <v>0</v>
      </c>
      <c r="AB16" s="37">
        <f t="shared" si="28"/>
        <v>0</v>
      </c>
      <c r="AC16" s="37">
        <f t="shared" si="29"/>
        <v>0</v>
      </c>
      <c r="AD16" s="37">
        <f t="shared" si="30"/>
        <v>0</v>
      </c>
      <c r="AE16" s="37">
        <f t="shared" si="31"/>
        <v>0</v>
      </c>
      <c r="AF16" s="37">
        <f t="shared" si="32"/>
        <v>0</v>
      </c>
      <c r="AG16" s="37">
        <f t="shared" si="33"/>
        <v>0</v>
      </c>
      <c r="AH16" s="37">
        <f t="shared" si="34"/>
        <v>0</v>
      </c>
      <c r="AI16" s="37">
        <f t="shared" si="35"/>
        <v>0</v>
      </c>
      <c r="AJ16" s="37">
        <f t="shared" si="36"/>
        <v>0</v>
      </c>
      <c r="AK16" s="37">
        <f t="shared" si="37"/>
        <v>0</v>
      </c>
      <c r="AL16" s="37">
        <f t="shared" si="38"/>
        <v>0</v>
      </c>
      <c r="AM16" s="94">
        <v>1</v>
      </c>
    </row>
    <row r="17" spans="1:39" s="46" customFormat="1" ht="15.6">
      <c r="A17" s="39" t="s">
        <v>92</v>
      </c>
      <c r="B17" s="40" t="s">
        <v>466</v>
      </c>
      <c r="C17" s="41" t="s">
        <v>4</v>
      </c>
      <c r="D17" s="41" t="s">
        <v>4</v>
      </c>
      <c r="E17" s="41" t="s">
        <v>4</v>
      </c>
      <c r="F17" s="40" t="s">
        <v>4</v>
      </c>
      <c r="G17" s="40" t="s">
        <v>4</v>
      </c>
      <c r="H17" s="42"/>
      <c r="I17" s="108"/>
      <c r="J17" s="41" t="s">
        <v>4</v>
      </c>
      <c r="K17" s="41" t="s">
        <v>4</v>
      </c>
      <c r="L17" s="41" t="s">
        <v>4</v>
      </c>
      <c r="M17" s="41" t="s">
        <v>4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79"/>
      <c r="AA17" s="44">
        <f t="shared" ref="AA17:AL17" si="39">((SUMIFS(AA1:AA391, $B$1:$B$391,"RARV6", $F$1:$F$391,"India")*0.15)+SUMIFS(AA1:AA391, $B$1:$B$391,"RARV6", $F$1:$F$391,"PH")*0.15)</f>
        <v>945.45900000000006</v>
      </c>
      <c r="AB17" s="44">
        <f t="shared" si="39"/>
        <v>1640.8590000000002</v>
      </c>
      <c r="AC17" s="44">
        <f t="shared" si="39"/>
        <v>1907.9639999999997</v>
      </c>
      <c r="AD17" s="44">
        <f t="shared" si="39"/>
        <v>995.22</v>
      </c>
      <c r="AE17" s="44">
        <f t="shared" si="39"/>
        <v>1704.9090000000001</v>
      </c>
      <c r="AF17" s="44">
        <f t="shared" si="39"/>
        <v>2064.078</v>
      </c>
      <c r="AG17" s="44">
        <f t="shared" si="39"/>
        <v>995.22</v>
      </c>
      <c r="AH17" s="44">
        <f t="shared" si="39"/>
        <v>1244.0249999999999</v>
      </c>
      <c r="AI17" s="44">
        <f t="shared" si="39"/>
        <v>945.45900000000006</v>
      </c>
      <c r="AJ17" s="44">
        <f t="shared" si="39"/>
        <v>895.69799999999998</v>
      </c>
      <c r="AK17" s="44">
        <f t="shared" si="39"/>
        <v>1244.0249999999999</v>
      </c>
      <c r="AL17" s="44">
        <f t="shared" si="39"/>
        <v>945.45900000000006</v>
      </c>
      <c r="AM17" s="45"/>
    </row>
    <row r="18" spans="1:39" s="46" customFormat="1" ht="15.6">
      <c r="A18" s="39" t="s">
        <v>92</v>
      </c>
      <c r="B18" s="40" t="s">
        <v>466</v>
      </c>
      <c r="C18" s="41" t="s">
        <v>5</v>
      </c>
      <c r="D18" s="41" t="s">
        <v>5</v>
      </c>
      <c r="E18" s="41" t="s">
        <v>5</v>
      </c>
      <c r="F18" s="40" t="s">
        <v>5</v>
      </c>
      <c r="G18" s="40" t="s">
        <v>5</v>
      </c>
      <c r="H18" s="42"/>
      <c r="I18" s="108"/>
      <c r="J18" s="41" t="s">
        <v>5</v>
      </c>
      <c r="K18" s="41" t="s">
        <v>5</v>
      </c>
      <c r="L18" s="41" t="s">
        <v>5</v>
      </c>
      <c r="M18" s="41" t="s">
        <v>5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79"/>
      <c r="AA18" s="44">
        <v>1000</v>
      </c>
      <c r="AB18" s="44">
        <v>1000</v>
      </c>
      <c r="AC18" s="44">
        <v>1200</v>
      </c>
      <c r="AD18" s="44">
        <v>1000</v>
      </c>
      <c r="AE18" s="44">
        <v>1000</v>
      </c>
      <c r="AF18" s="44">
        <v>1200</v>
      </c>
      <c r="AG18" s="44">
        <v>1000</v>
      </c>
      <c r="AH18" s="44">
        <v>1200</v>
      </c>
      <c r="AI18" s="44">
        <v>1000</v>
      </c>
      <c r="AJ18" s="44">
        <v>1000</v>
      </c>
      <c r="AK18" s="44">
        <v>1200</v>
      </c>
      <c r="AL18" s="44">
        <v>1000</v>
      </c>
      <c r="AM18" s="45"/>
    </row>
    <row r="19" spans="1:39" s="46" customFormat="1" ht="15.6">
      <c r="A19" s="39" t="s">
        <v>92</v>
      </c>
      <c r="B19" s="40" t="s">
        <v>466</v>
      </c>
      <c r="C19" s="41" t="s">
        <v>6</v>
      </c>
      <c r="D19" s="41" t="s">
        <v>6</v>
      </c>
      <c r="E19" s="41" t="s">
        <v>6</v>
      </c>
      <c r="F19" s="40" t="s">
        <v>6</v>
      </c>
      <c r="G19" s="40" t="s">
        <v>6</v>
      </c>
      <c r="H19" s="42"/>
      <c r="I19" s="108"/>
      <c r="J19" s="41" t="s">
        <v>6</v>
      </c>
      <c r="K19" s="41" t="s">
        <v>6</v>
      </c>
      <c r="L19" s="41" t="s">
        <v>6</v>
      </c>
      <c r="M19" s="41" t="s">
        <v>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79"/>
      <c r="AA19" s="44">
        <f>(54*2*4*0.6)</f>
        <v>259.2</v>
      </c>
      <c r="AB19" s="44">
        <f>(54*2*4*0.6)</f>
        <v>259.2</v>
      </c>
      <c r="AC19" s="44">
        <f>(54*2*5*0.6)</f>
        <v>324</v>
      </c>
      <c r="AD19" s="44">
        <f>(54*2*4*0.6)</f>
        <v>259.2</v>
      </c>
      <c r="AE19" s="44">
        <f>(54*2*4*0.6)</f>
        <v>259.2</v>
      </c>
      <c r="AF19" s="44">
        <f>(54*2*5*0.6)</f>
        <v>324</v>
      </c>
      <c r="AG19" s="44">
        <f>(54*2*4*0.6)</f>
        <v>259.2</v>
      </c>
      <c r="AH19" s="44">
        <f>(54*2*5*0.6)</f>
        <v>324</v>
      </c>
      <c r="AI19" s="44">
        <f>(54*2*4*0.6)</f>
        <v>259.2</v>
      </c>
      <c r="AJ19" s="44">
        <f>(54*2*4*0.6)</f>
        <v>259.2</v>
      </c>
      <c r="AK19" s="44">
        <f>(54*2*5*0.6)</f>
        <v>324</v>
      </c>
      <c r="AL19" s="44">
        <f>(54*2*4*0.6)</f>
        <v>259.2</v>
      </c>
      <c r="AM19" s="45"/>
    </row>
    <row r="20" spans="1:39" s="91" customFormat="1" ht="15.6">
      <c r="A20" s="87" t="s">
        <v>92</v>
      </c>
      <c r="B20" s="83" t="s">
        <v>465</v>
      </c>
      <c r="C20" s="38" t="s">
        <v>75</v>
      </c>
      <c r="D20" s="38" t="s">
        <v>811</v>
      </c>
      <c r="E20" s="88" t="s">
        <v>76</v>
      </c>
      <c r="F20" s="83" t="s">
        <v>72</v>
      </c>
      <c r="G20" s="89" t="s">
        <v>73</v>
      </c>
      <c r="H20" s="89">
        <v>7</v>
      </c>
      <c r="I20" s="108">
        <v>112</v>
      </c>
      <c r="J20" s="88" t="s">
        <v>45</v>
      </c>
      <c r="K20" s="38" t="s">
        <v>46</v>
      </c>
      <c r="L20" s="38" t="s">
        <v>74</v>
      </c>
      <c r="M20" s="90" t="s">
        <v>2</v>
      </c>
      <c r="N20" s="84">
        <v>152</v>
      </c>
      <c r="O20" s="84">
        <v>152</v>
      </c>
      <c r="P20" s="84">
        <v>192</v>
      </c>
      <c r="Q20" s="84">
        <v>160</v>
      </c>
      <c r="R20" s="84">
        <v>152</v>
      </c>
      <c r="S20" s="84">
        <v>200</v>
      </c>
      <c r="T20" s="84">
        <v>152</v>
      </c>
      <c r="U20" s="84">
        <v>192</v>
      </c>
      <c r="V20" s="84">
        <v>152</v>
      </c>
      <c r="W20" s="84">
        <v>152</v>
      </c>
      <c r="X20" s="84">
        <v>192</v>
      </c>
      <c r="Y20" s="84">
        <v>152</v>
      </c>
      <c r="Z20" s="88"/>
      <c r="AA20" s="37">
        <f t="shared" ref="AA20:AA35" si="40">$I20*N20</f>
        <v>17024</v>
      </c>
      <c r="AB20" s="37">
        <f t="shared" ref="AB20:AB35" si="41">$I20*O20</f>
        <v>17024</v>
      </c>
      <c r="AC20" s="37">
        <f t="shared" ref="AC20:AC35" si="42">$I20*P20</f>
        <v>21504</v>
      </c>
      <c r="AD20" s="37">
        <f t="shared" ref="AD20:AD35" si="43">$I20*Q20</f>
        <v>17920</v>
      </c>
      <c r="AE20" s="37">
        <f t="shared" ref="AE20:AE35" si="44">$I20*R20</f>
        <v>17024</v>
      </c>
      <c r="AF20" s="37">
        <f t="shared" ref="AF20:AF35" si="45">$I20*S20</f>
        <v>22400</v>
      </c>
      <c r="AG20" s="37">
        <f t="shared" ref="AG20:AG35" si="46">$I20*T20</f>
        <v>17024</v>
      </c>
      <c r="AH20" s="37">
        <f t="shared" ref="AH20:AH35" si="47">$I20*U20</f>
        <v>21504</v>
      </c>
      <c r="AI20" s="37">
        <f t="shared" ref="AI20:AI35" si="48">$I20*V20</f>
        <v>17024</v>
      </c>
      <c r="AJ20" s="37">
        <f t="shared" ref="AJ20:AJ35" si="49">$I20*W20</f>
        <v>17024</v>
      </c>
      <c r="AK20" s="37">
        <f t="shared" ref="AK20:AK35" si="50">$I20*X20</f>
        <v>21504</v>
      </c>
      <c r="AL20" s="37">
        <f t="shared" ref="AL20:AL35" si="51">$I20*Y20</f>
        <v>17024</v>
      </c>
      <c r="AM20" s="94">
        <v>1</v>
      </c>
    </row>
    <row r="21" spans="1:39" s="91" customFormat="1" ht="15.6">
      <c r="A21" s="87" t="s">
        <v>92</v>
      </c>
      <c r="B21" s="83" t="s">
        <v>465</v>
      </c>
      <c r="C21" s="38" t="s">
        <v>42</v>
      </c>
      <c r="D21" s="38" t="s">
        <v>812</v>
      </c>
      <c r="E21" s="88" t="s">
        <v>43</v>
      </c>
      <c r="F21" s="89" t="s">
        <v>29</v>
      </c>
      <c r="G21" s="89" t="s">
        <v>35</v>
      </c>
      <c r="H21" s="89" t="s">
        <v>44</v>
      </c>
      <c r="I21" s="108">
        <v>14</v>
      </c>
      <c r="J21" s="88" t="s">
        <v>45</v>
      </c>
      <c r="K21" s="38" t="s">
        <v>46</v>
      </c>
      <c r="L21" s="38" t="s">
        <v>34</v>
      </c>
      <c r="M21" s="90" t="s">
        <v>1</v>
      </c>
      <c r="N21" s="36">
        <v>174.6</v>
      </c>
      <c r="O21" s="36">
        <v>165.87</v>
      </c>
      <c r="P21" s="36">
        <v>200.79</v>
      </c>
      <c r="Q21" s="36">
        <v>174.6</v>
      </c>
      <c r="R21" s="36">
        <v>165.87</v>
      </c>
      <c r="S21" s="36">
        <v>209.51999999999998</v>
      </c>
      <c r="T21" s="36">
        <v>174.6</v>
      </c>
      <c r="U21" s="36">
        <v>218.25</v>
      </c>
      <c r="V21" s="36">
        <v>165.87</v>
      </c>
      <c r="W21" s="36">
        <v>157.13999999999999</v>
      </c>
      <c r="X21" s="36">
        <v>209.51999999999998</v>
      </c>
      <c r="Y21" s="36">
        <v>165.87</v>
      </c>
      <c r="Z21" s="85"/>
      <c r="AA21" s="37">
        <f t="shared" si="40"/>
        <v>2444.4</v>
      </c>
      <c r="AB21" s="37">
        <f t="shared" si="41"/>
        <v>2322.1800000000003</v>
      </c>
      <c r="AC21" s="37">
        <f t="shared" si="42"/>
        <v>2811.06</v>
      </c>
      <c r="AD21" s="37">
        <f t="shared" si="43"/>
        <v>2444.4</v>
      </c>
      <c r="AE21" s="37">
        <f t="shared" si="44"/>
        <v>2322.1800000000003</v>
      </c>
      <c r="AF21" s="37">
        <f t="shared" si="45"/>
        <v>2933.2799999999997</v>
      </c>
      <c r="AG21" s="37">
        <f t="shared" si="46"/>
        <v>2444.4</v>
      </c>
      <c r="AH21" s="37">
        <f t="shared" si="47"/>
        <v>3055.5</v>
      </c>
      <c r="AI21" s="37">
        <f t="shared" si="48"/>
        <v>2322.1800000000003</v>
      </c>
      <c r="AJ21" s="37">
        <f t="shared" si="49"/>
        <v>2199.96</v>
      </c>
      <c r="AK21" s="37">
        <f t="shared" si="50"/>
        <v>2933.2799999999997</v>
      </c>
      <c r="AL21" s="37">
        <f t="shared" si="51"/>
        <v>2322.1800000000003</v>
      </c>
      <c r="AM21" s="94">
        <v>1</v>
      </c>
    </row>
    <row r="22" spans="1:39" s="91" customFormat="1" ht="15.6">
      <c r="A22" s="87" t="s">
        <v>92</v>
      </c>
      <c r="B22" s="83" t="s">
        <v>465</v>
      </c>
      <c r="C22" s="88" t="s">
        <v>47</v>
      </c>
      <c r="D22" s="88" t="s">
        <v>813</v>
      </c>
      <c r="E22" s="88" t="s">
        <v>48</v>
      </c>
      <c r="F22" s="89" t="s">
        <v>29</v>
      </c>
      <c r="G22" s="89" t="s">
        <v>49</v>
      </c>
      <c r="H22" s="89" t="s">
        <v>44</v>
      </c>
      <c r="I22" s="108">
        <v>14</v>
      </c>
      <c r="J22" s="88" t="s">
        <v>45</v>
      </c>
      <c r="K22" s="38" t="s">
        <v>46</v>
      </c>
      <c r="L22" s="38" t="s">
        <v>34</v>
      </c>
      <c r="M22" s="90" t="s">
        <v>1</v>
      </c>
      <c r="N22" s="84">
        <v>165.87</v>
      </c>
      <c r="O22" s="84">
        <v>165.87</v>
      </c>
      <c r="P22" s="84">
        <v>209.51999999999998</v>
      </c>
      <c r="Q22" s="84">
        <v>174.6</v>
      </c>
      <c r="R22" s="84">
        <v>165.87</v>
      </c>
      <c r="S22" s="84">
        <v>200.79</v>
      </c>
      <c r="T22" s="84">
        <v>174.6</v>
      </c>
      <c r="U22" s="84">
        <v>218.25</v>
      </c>
      <c r="V22" s="84">
        <v>165.87</v>
      </c>
      <c r="W22" s="84">
        <v>157.13999999999999</v>
      </c>
      <c r="X22" s="84">
        <v>218.25</v>
      </c>
      <c r="Y22" s="84">
        <v>165.87</v>
      </c>
      <c r="Z22" s="88"/>
      <c r="AA22" s="37">
        <f t="shared" si="40"/>
        <v>2322.1800000000003</v>
      </c>
      <c r="AB22" s="37">
        <f t="shared" si="41"/>
        <v>2322.1800000000003</v>
      </c>
      <c r="AC22" s="37">
        <f t="shared" si="42"/>
        <v>2933.2799999999997</v>
      </c>
      <c r="AD22" s="37">
        <f t="shared" si="43"/>
        <v>2444.4</v>
      </c>
      <c r="AE22" s="37">
        <f t="shared" si="44"/>
        <v>2322.1800000000003</v>
      </c>
      <c r="AF22" s="37">
        <f t="shared" si="45"/>
        <v>2811.06</v>
      </c>
      <c r="AG22" s="37">
        <f t="shared" si="46"/>
        <v>2444.4</v>
      </c>
      <c r="AH22" s="37">
        <f t="shared" si="47"/>
        <v>3055.5</v>
      </c>
      <c r="AI22" s="37">
        <f t="shared" si="48"/>
        <v>2322.1800000000003</v>
      </c>
      <c r="AJ22" s="37">
        <f t="shared" si="49"/>
        <v>2199.96</v>
      </c>
      <c r="AK22" s="37">
        <f t="shared" si="50"/>
        <v>3055.5</v>
      </c>
      <c r="AL22" s="37">
        <f t="shared" si="51"/>
        <v>2322.1800000000003</v>
      </c>
      <c r="AM22" s="94">
        <v>1</v>
      </c>
    </row>
    <row r="23" spans="1:39" s="91" customFormat="1" ht="15.6">
      <c r="A23" s="87" t="s">
        <v>92</v>
      </c>
      <c r="B23" s="83" t="s">
        <v>465</v>
      </c>
      <c r="C23" s="88" t="s">
        <v>639</v>
      </c>
      <c r="D23" s="88" t="s">
        <v>814</v>
      </c>
      <c r="E23" s="88" t="s">
        <v>638</v>
      </c>
      <c r="F23" s="89" t="s">
        <v>29</v>
      </c>
      <c r="G23" s="89" t="s">
        <v>35</v>
      </c>
      <c r="H23" s="89" t="s">
        <v>101</v>
      </c>
      <c r="I23" s="108">
        <v>12</v>
      </c>
      <c r="J23" s="88" t="s">
        <v>45</v>
      </c>
      <c r="K23" s="38" t="s">
        <v>46</v>
      </c>
      <c r="L23" s="38" t="s">
        <v>34</v>
      </c>
      <c r="M23" s="90" t="s">
        <v>1</v>
      </c>
      <c r="N23" s="36">
        <v>174.6</v>
      </c>
      <c r="O23" s="36">
        <v>165.87</v>
      </c>
      <c r="P23" s="36">
        <v>200.79</v>
      </c>
      <c r="Q23" s="36">
        <v>174.6</v>
      </c>
      <c r="R23" s="36">
        <v>165.87</v>
      </c>
      <c r="S23" s="36">
        <v>209.51999999999998</v>
      </c>
      <c r="T23" s="36">
        <v>174.6</v>
      </c>
      <c r="U23" s="36">
        <v>218.25</v>
      </c>
      <c r="V23" s="36">
        <v>165.87</v>
      </c>
      <c r="W23" s="36">
        <v>157.13999999999999</v>
      </c>
      <c r="X23" s="36">
        <v>209.51999999999998</v>
      </c>
      <c r="Y23" s="36">
        <v>165.87</v>
      </c>
      <c r="Z23" s="88"/>
      <c r="AA23" s="37">
        <f t="shared" si="40"/>
        <v>2095.1999999999998</v>
      </c>
      <c r="AB23" s="37">
        <f t="shared" si="41"/>
        <v>1990.44</v>
      </c>
      <c r="AC23" s="37">
        <f t="shared" si="42"/>
        <v>2409.48</v>
      </c>
      <c r="AD23" s="37">
        <f t="shared" si="43"/>
        <v>2095.1999999999998</v>
      </c>
      <c r="AE23" s="37">
        <f t="shared" si="44"/>
        <v>1990.44</v>
      </c>
      <c r="AF23" s="37">
        <f t="shared" si="45"/>
        <v>2514.2399999999998</v>
      </c>
      <c r="AG23" s="37">
        <f t="shared" si="46"/>
        <v>2095.1999999999998</v>
      </c>
      <c r="AH23" s="37">
        <f t="shared" si="47"/>
        <v>2619</v>
      </c>
      <c r="AI23" s="37">
        <f t="shared" si="48"/>
        <v>1990.44</v>
      </c>
      <c r="AJ23" s="37">
        <f t="shared" si="49"/>
        <v>1885.6799999999998</v>
      </c>
      <c r="AK23" s="37">
        <f t="shared" si="50"/>
        <v>2514.2399999999998</v>
      </c>
      <c r="AL23" s="37">
        <f t="shared" si="51"/>
        <v>1990.44</v>
      </c>
      <c r="AM23" s="94">
        <v>1</v>
      </c>
    </row>
    <row r="24" spans="1:39" s="91" customFormat="1" ht="15.6">
      <c r="A24" s="87" t="s">
        <v>92</v>
      </c>
      <c r="B24" s="83" t="s">
        <v>465</v>
      </c>
      <c r="C24" s="88" t="s">
        <v>51</v>
      </c>
      <c r="D24" s="88" t="s">
        <v>777</v>
      </c>
      <c r="E24" s="88" t="s">
        <v>52</v>
      </c>
      <c r="F24" s="83" t="s">
        <v>29</v>
      </c>
      <c r="G24" s="89" t="s">
        <v>49</v>
      </c>
      <c r="H24" s="89" t="s">
        <v>36</v>
      </c>
      <c r="I24" s="108">
        <v>29.5</v>
      </c>
      <c r="J24" s="88" t="s">
        <v>45</v>
      </c>
      <c r="K24" s="38" t="s">
        <v>46</v>
      </c>
      <c r="L24" s="38" t="s">
        <v>34</v>
      </c>
      <c r="M24" s="90" t="s">
        <v>1</v>
      </c>
      <c r="N24" s="84">
        <v>45</v>
      </c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8" t="s">
        <v>687</v>
      </c>
      <c r="AA24" s="37">
        <f t="shared" si="40"/>
        <v>1327.5</v>
      </c>
      <c r="AB24" s="37">
        <f t="shared" si="41"/>
        <v>0</v>
      </c>
      <c r="AC24" s="37">
        <f t="shared" si="42"/>
        <v>0</v>
      </c>
      <c r="AD24" s="37">
        <f t="shared" si="43"/>
        <v>0</v>
      </c>
      <c r="AE24" s="37">
        <f t="shared" si="44"/>
        <v>0</v>
      </c>
      <c r="AF24" s="37">
        <f t="shared" si="45"/>
        <v>0</v>
      </c>
      <c r="AG24" s="37">
        <f t="shared" si="46"/>
        <v>0</v>
      </c>
      <c r="AH24" s="37">
        <f t="shared" si="47"/>
        <v>0</v>
      </c>
      <c r="AI24" s="37">
        <f t="shared" si="48"/>
        <v>0</v>
      </c>
      <c r="AJ24" s="37">
        <f t="shared" si="49"/>
        <v>0</v>
      </c>
      <c r="AK24" s="37">
        <f t="shared" si="50"/>
        <v>0</v>
      </c>
      <c r="AL24" s="37">
        <f t="shared" si="51"/>
        <v>0</v>
      </c>
      <c r="AM24" s="94">
        <v>1</v>
      </c>
    </row>
    <row r="25" spans="1:39" s="91" customFormat="1" ht="15.6">
      <c r="A25" s="87" t="s">
        <v>92</v>
      </c>
      <c r="B25" s="83" t="s">
        <v>465</v>
      </c>
      <c r="C25" s="96" t="s">
        <v>62</v>
      </c>
      <c r="D25" s="96" t="s">
        <v>815</v>
      </c>
      <c r="E25" s="96" t="s">
        <v>63</v>
      </c>
      <c r="F25" s="83" t="s">
        <v>29</v>
      </c>
      <c r="G25" s="89" t="s">
        <v>35</v>
      </c>
      <c r="H25" s="89" t="s">
        <v>36</v>
      </c>
      <c r="I25" s="108">
        <v>24.5</v>
      </c>
      <c r="J25" s="88" t="s">
        <v>45</v>
      </c>
      <c r="K25" s="38" t="s">
        <v>46</v>
      </c>
      <c r="L25" s="38" t="s">
        <v>34</v>
      </c>
      <c r="M25" s="90" t="s">
        <v>1</v>
      </c>
      <c r="N25" s="36">
        <v>174.6</v>
      </c>
      <c r="O25" s="36">
        <v>165.87</v>
      </c>
      <c r="P25" s="36">
        <v>200.79</v>
      </c>
      <c r="Q25" s="36">
        <v>174.6</v>
      </c>
      <c r="R25" s="36">
        <v>165.87</v>
      </c>
      <c r="S25" s="36">
        <v>209.51999999999998</v>
      </c>
      <c r="T25" s="36">
        <v>174.6</v>
      </c>
      <c r="U25" s="36">
        <v>218.25</v>
      </c>
      <c r="V25" s="36">
        <v>165.87</v>
      </c>
      <c r="W25" s="36">
        <v>157.13999999999999</v>
      </c>
      <c r="X25" s="36">
        <v>209.51999999999998</v>
      </c>
      <c r="Y25" s="36">
        <v>165.87</v>
      </c>
      <c r="Z25" s="88"/>
      <c r="AA25" s="37">
        <f t="shared" si="40"/>
        <v>4277.7</v>
      </c>
      <c r="AB25" s="37">
        <f t="shared" si="41"/>
        <v>4063.8150000000001</v>
      </c>
      <c r="AC25" s="37">
        <f t="shared" si="42"/>
        <v>4919.3549999999996</v>
      </c>
      <c r="AD25" s="37">
        <f t="shared" si="43"/>
        <v>4277.7</v>
      </c>
      <c r="AE25" s="37">
        <f t="shared" si="44"/>
        <v>4063.8150000000001</v>
      </c>
      <c r="AF25" s="37">
        <f t="shared" si="45"/>
        <v>5133.24</v>
      </c>
      <c r="AG25" s="37">
        <f t="shared" si="46"/>
        <v>4277.7</v>
      </c>
      <c r="AH25" s="37">
        <f t="shared" si="47"/>
        <v>5347.125</v>
      </c>
      <c r="AI25" s="37">
        <f t="shared" si="48"/>
        <v>4063.8150000000001</v>
      </c>
      <c r="AJ25" s="37">
        <f t="shared" si="49"/>
        <v>3849.93</v>
      </c>
      <c r="AK25" s="37">
        <f t="shared" si="50"/>
        <v>5133.24</v>
      </c>
      <c r="AL25" s="37">
        <f t="shared" si="51"/>
        <v>4063.8150000000001</v>
      </c>
      <c r="AM25" s="94">
        <v>1</v>
      </c>
    </row>
    <row r="26" spans="1:39" s="91" customFormat="1" ht="15.6">
      <c r="A26" s="87" t="s">
        <v>92</v>
      </c>
      <c r="B26" s="83" t="s">
        <v>465</v>
      </c>
      <c r="C26" s="96" t="s">
        <v>688</v>
      </c>
      <c r="D26" s="96" t="s">
        <v>816</v>
      </c>
      <c r="E26" s="96" t="s">
        <v>689</v>
      </c>
      <c r="F26" s="83" t="s">
        <v>29</v>
      </c>
      <c r="G26" s="89" t="s">
        <v>35</v>
      </c>
      <c r="H26" s="89" t="s">
        <v>36</v>
      </c>
      <c r="I26" s="108">
        <v>24.5</v>
      </c>
      <c r="J26" s="88" t="s">
        <v>45</v>
      </c>
      <c r="K26" s="38" t="s">
        <v>46</v>
      </c>
      <c r="L26" s="38" t="s">
        <v>34</v>
      </c>
      <c r="M26" s="90" t="s">
        <v>1</v>
      </c>
      <c r="N26" s="36">
        <v>174.6</v>
      </c>
      <c r="O26" s="36">
        <v>165.87</v>
      </c>
      <c r="P26" s="36">
        <v>200.79</v>
      </c>
      <c r="Q26" s="36">
        <v>174.6</v>
      </c>
      <c r="R26" s="36">
        <v>165.87</v>
      </c>
      <c r="S26" s="36">
        <v>209.51999999999998</v>
      </c>
      <c r="T26" s="36">
        <v>174.6</v>
      </c>
      <c r="U26" s="36">
        <v>218.25</v>
      </c>
      <c r="V26" s="36">
        <v>165.87</v>
      </c>
      <c r="W26" s="36">
        <v>157.13999999999999</v>
      </c>
      <c r="X26" s="36">
        <v>209.51999999999998</v>
      </c>
      <c r="Y26" s="36">
        <v>165.87</v>
      </c>
      <c r="Z26" s="88"/>
      <c r="AA26" s="37">
        <f t="shared" si="40"/>
        <v>4277.7</v>
      </c>
      <c r="AB26" s="37">
        <f t="shared" si="41"/>
        <v>4063.8150000000001</v>
      </c>
      <c r="AC26" s="37">
        <f t="shared" si="42"/>
        <v>4919.3549999999996</v>
      </c>
      <c r="AD26" s="37">
        <f t="shared" si="43"/>
        <v>4277.7</v>
      </c>
      <c r="AE26" s="37">
        <f t="shared" si="44"/>
        <v>4063.8150000000001</v>
      </c>
      <c r="AF26" s="37">
        <f t="shared" si="45"/>
        <v>5133.24</v>
      </c>
      <c r="AG26" s="37">
        <f t="shared" si="46"/>
        <v>4277.7</v>
      </c>
      <c r="AH26" s="37">
        <f t="shared" si="47"/>
        <v>5347.125</v>
      </c>
      <c r="AI26" s="37">
        <f t="shared" si="48"/>
        <v>4063.8150000000001</v>
      </c>
      <c r="AJ26" s="37">
        <f t="shared" si="49"/>
        <v>3849.93</v>
      </c>
      <c r="AK26" s="37">
        <f t="shared" si="50"/>
        <v>5133.24</v>
      </c>
      <c r="AL26" s="37">
        <f t="shared" si="51"/>
        <v>4063.8150000000001</v>
      </c>
      <c r="AM26" s="94">
        <v>1</v>
      </c>
    </row>
    <row r="27" spans="1:39" s="91" customFormat="1" ht="15.6">
      <c r="A27" s="87" t="s">
        <v>92</v>
      </c>
      <c r="B27" s="83" t="s">
        <v>465</v>
      </c>
      <c r="C27" s="96" t="s">
        <v>1082</v>
      </c>
      <c r="D27" s="96" t="s">
        <v>1081</v>
      </c>
      <c r="E27" s="96" t="s">
        <v>1080</v>
      </c>
      <c r="F27" s="83" t="s">
        <v>29</v>
      </c>
      <c r="G27" s="89" t="s">
        <v>50</v>
      </c>
      <c r="H27" s="89" t="s">
        <v>36</v>
      </c>
      <c r="I27" s="108">
        <v>23</v>
      </c>
      <c r="J27" s="88" t="s">
        <v>45</v>
      </c>
      <c r="K27" s="38" t="s">
        <v>46</v>
      </c>
      <c r="L27" s="38" t="s">
        <v>34</v>
      </c>
      <c r="M27" s="90" t="s">
        <v>1</v>
      </c>
      <c r="N27" s="36"/>
      <c r="O27" s="36"/>
      <c r="P27" s="36">
        <v>200.79</v>
      </c>
      <c r="Q27" s="36">
        <v>174.6</v>
      </c>
      <c r="R27" s="36">
        <v>165.87</v>
      </c>
      <c r="S27" s="36">
        <v>209.51999999999998</v>
      </c>
      <c r="T27" s="36">
        <v>174.6</v>
      </c>
      <c r="U27" s="36">
        <v>218.25</v>
      </c>
      <c r="V27" s="36">
        <v>165.87</v>
      </c>
      <c r="W27" s="36">
        <v>157.13999999999999</v>
      </c>
      <c r="X27" s="36">
        <v>209.51999999999998</v>
      </c>
      <c r="Y27" s="36">
        <v>165.87</v>
      </c>
      <c r="Z27" s="88"/>
      <c r="AA27" s="37">
        <f t="shared" si="40"/>
        <v>0</v>
      </c>
      <c r="AB27" s="37">
        <f t="shared" si="41"/>
        <v>0</v>
      </c>
      <c r="AC27" s="37">
        <f t="shared" si="42"/>
        <v>4618.17</v>
      </c>
      <c r="AD27" s="37">
        <f t="shared" si="43"/>
        <v>4015.7999999999997</v>
      </c>
      <c r="AE27" s="37">
        <f t="shared" si="44"/>
        <v>3815.01</v>
      </c>
      <c r="AF27" s="37">
        <f t="shared" si="45"/>
        <v>4818.9599999999991</v>
      </c>
      <c r="AG27" s="37">
        <f t="shared" si="46"/>
        <v>4015.7999999999997</v>
      </c>
      <c r="AH27" s="37">
        <f t="shared" si="47"/>
        <v>5019.75</v>
      </c>
      <c r="AI27" s="37">
        <f t="shared" si="48"/>
        <v>3815.01</v>
      </c>
      <c r="AJ27" s="37">
        <f t="shared" si="49"/>
        <v>3614.22</v>
      </c>
      <c r="AK27" s="37">
        <f t="shared" si="50"/>
        <v>4818.9599999999991</v>
      </c>
      <c r="AL27" s="37">
        <f t="shared" si="51"/>
        <v>3815.01</v>
      </c>
      <c r="AM27" s="94">
        <v>1</v>
      </c>
    </row>
    <row r="28" spans="1:39" s="91" customFormat="1" ht="15.6">
      <c r="A28" s="87" t="s">
        <v>92</v>
      </c>
      <c r="B28" s="83" t="s">
        <v>465</v>
      </c>
      <c r="C28" s="88" t="s">
        <v>64</v>
      </c>
      <c r="D28" s="88" t="s">
        <v>817</v>
      </c>
      <c r="E28" s="88" t="s">
        <v>65</v>
      </c>
      <c r="F28" s="89" t="s">
        <v>29</v>
      </c>
      <c r="G28" s="89" t="s">
        <v>49</v>
      </c>
      <c r="H28" s="89" t="s">
        <v>60</v>
      </c>
      <c r="I28" s="108">
        <v>19</v>
      </c>
      <c r="J28" s="88" t="s">
        <v>45</v>
      </c>
      <c r="K28" s="38" t="s">
        <v>46</v>
      </c>
      <c r="L28" s="38" t="s">
        <v>34</v>
      </c>
      <c r="M28" s="90" t="s">
        <v>1</v>
      </c>
      <c r="N28" s="84">
        <v>165.87</v>
      </c>
      <c r="O28" s="84">
        <v>165.87</v>
      </c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8" t="s">
        <v>768</v>
      </c>
      <c r="AA28" s="37">
        <f t="shared" si="40"/>
        <v>3151.53</v>
      </c>
      <c r="AB28" s="37">
        <f t="shared" si="41"/>
        <v>3151.53</v>
      </c>
      <c r="AC28" s="37">
        <f t="shared" si="42"/>
        <v>0</v>
      </c>
      <c r="AD28" s="37">
        <f t="shared" si="43"/>
        <v>0</v>
      </c>
      <c r="AE28" s="37">
        <f t="shared" si="44"/>
        <v>0</v>
      </c>
      <c r="AF28" s="37">
        <f t="shared" si="45"/>
        <v>0</v>
      </c>
      <c r="AG28" s="37">
        <f t="shared" si="46"/>
        <v>0</v>
      </c>
      <c r="AH28" s="37">
        <f t="shared" si="47"/>
        <v>0</v>
      </c>
      <c r="AI28" s="37">
        <f t="shared" si="48"/>
        <v>0</v>
      </c>
      <c r="AJ28" s="37">
        <f t="shared" si="49"/>
        <v>0</v>
      </c>
      <c r="AK28" s="37">
        <f t="shared" si="50"/>
        <v>0</v>
      </c>
      <c r="AL28" s="37">
        <f t="shared" si="51"/>
        <v>0</v>
      </c>
      <c r="AM28" s="94">
        <v>1</v>
      </c>
    </row>
    <row r="29" spans="1:39" s="91" customFormat="1" ht="15.6">
      <c r="A29" s="87" t="s">
        <v>92</v>
      </c>
      <c r="B29" s="83" t="s">
        <v>465</v>
      </c>
      <c r="C29" s="88" t="s">
        <v>601</v>
      </c>
      <c r="D29" s="88" t="s">
        <v>818</v>
      </c>
      <c r="E29" s="88" t="s">
        <v>600</v>
      </c>
      <c r="F29" s="89" t="s">
        <v>29</v>
      </c>
      <c r="G29" s="89" t="s">
        <v>221</v>
      </c>
      <c r="H29" s="89" t="s">
        <v>60</v>
      </c>
      <c r="I29" s="108">
        <v>19</v>
      </c>
      <c r="J29" s="88" t="s">
        <v>45</v>
      </c>
      <c r="K29" s="38" t="s">
        <v>46</v>
      </c>
      <c r="L29" s="38" t="s">
        <v>34</v>
      </c>
      <c r="M29" s="90" t="s">
        <v>1</v>
      </c>
      <c r="N29" s="36">
        <v>174.6</v>
      </c>
      <c r="O29" s="36">
        <v>165.87</v>
      </c>
      <c r="P29" s="36">
        <v>200.79</v>
      </c>
      <c r="Q29" s="36">
        <v>174.6</v>
      </c>
      <c r="R29" s="36">
        <v>165.87</v>
      </c>
      <c r="S29" s="36">
        <v>209.51999999999998</v>
      </c>
      <c r="T29" s="36">
        <v>174.6</v>
      </c>
      <c r="U29" s="36">
        <v>218.25</v>
      </c>
      <c r="V29" s="36">
        <v>165.87</v>
      </c>
      <c r="W29" s="36">
        <v>157.13999999999999</v>
      </c>
      <c r="X29" s="36">
        <v>209.51999999999998</v>
      </c>
      <c r="Y29" s="36">
        <v>165.87</v>
      </c>
      <c r="Z29" s="88"/>
      <c r="AA29" s="37">
        <f t="shared" si="40"/>
        <v>3317.4</v>
      </c>
      <c r="AB29" s="37">
        <f t="shared" si="41"/>
        <v>3151.53</v>
      </c>
      <c r="AC29" s="37">
        <f t="shared" si="42"/>
        <v>3815.0099999999998</v>
      </c>
      <c r="AD29" s="37">
        <f t="shared" si="43"/>
        <v>3317.4</v>
      </c>
      <c r="AE29" s="37">
        <f t="shared" si="44"/>
        <v>3151.53</v>
      </c>
      <c r="AF29" s="37">
        <f t="shared" si="45"/>
        <v>3980.8799999999997</v>
      </c>
      <c r="AG29" s="37">
        <f t="shared" si="46"/>
        <v>3317.4</v>
      </c>
      <c r="AH29" s="37">
        <f t="shared" si="47"/>
        <v>4146.75</v>
      </c>
      <c r="AI29" s="37">
        <f t="shared" si="48"/>
        <v>3151.53</v>
      </c>
      <c r="AJ29" s="37">
        <f t="shared" si="49"/>
        <v>2985.66</v>
      </c>
      <c r="AK29" s="37">
        <f t="shared" si="50"/>
        <v>3980.8799999999997</v>
      </c>
      <c r="AL29" s="37">
        <f t="shared" si="51"/>
        <v>3151.53</v>
      </c>
      <c r="AM29" s="94">
        <v>1</v>
      </c>
    </row>
    <row r="30" spans="1:39" s="91" customFormat="1" ht="15.6">
      <c r="A30" s="87" t="s">
        <v>92</v>
      </c>
      <c r="B30" s="83" t="s">
        <v>465</v>
      </c>
      <c r="C30" s="88" t="s">
        <v>477</v>
      </c>
      <c r="D30" s="88" t="s">
        <v>819</v>
      </c>
      <c r="E30" s="88" t="s">
        <v>476</v>
      </c>
      <c r="F30" s="89" t="s">
        <v>29</v>
      </c>
      <c r="G30" s="89" t="s">
        <v>30</v>
      </c>
      <c r="H30" s="89" t="s">
        <v>60</v>
      </c>
      <c r="I30" s="108">
        <v>19</v>
      </c>
      <c r="J30" s="88" t="s">
        <v>45</v>
      </c>
      <c r="K30" s="38" t="s">
        <v>46</v>
      </c>
      <c r="L30" s="38" t="s">
        <v>34</v>
      </c>
      <c r="M30" s="90" t="s">
        <v>1</v>
      </c>
      <c r="N30" s="84">
        <v>165.87</v>
      </c>
      <c r="O30" s="84">
        <v>165.87</v>
      </c>
      <c r="P30" s="84">
        <v>209.51999999999998</v>
      </c>
      <c r="Q30" s="84">
        <v>165.87</v>
      </c>
      <c r="R30" s="84">
        <v>165.87</v>
      </c>
      <c r="S30" s="84">
        <v>209.51999999999998</v>
      </c>
      <c r="T30" s="84">
        <v>174.6</v>
      </c>
      <c r="U30" s="84">
        <v>218.25</v>
      </c>
      <c r="V30" s="84">
        <v>165.87</v>
      </c>
      <c r="W30" s="84">
        <v>157.13999999999999</v>
      </c>
      <c r="X30" s="84">
        <v>218.25</v>
      </c>
      <c r="Y30" s="84">
        <v>165.87</v>
      </c>
      <c r="Z30" s="88"/>
      <c r="AA30" s="37">
        <f t="shared" si="40"/>
        <v>3151.53</v>
      </c>
      <c r="AB30" s="37">
        <f t="shared" si="41"/>
        <v>3151.53</v>
      </c>
      <c r="AC30" s="37">
        <f t="shared" si="42"/>
        <v>3980.8799999999997</v>
      </c>
      <c r="AD30" s="37">
        <f t="shared" si="43"/>
        <v>3151.53</v>
      </c>
      <c r="AE30" s="37">
        <f t="shared" si="44"/>
        <v>3151.53</v>
      </c>
      <c r="AF30" s="37">
        <f t="shared" si="45"/>
        <v>3980.8799999999997</v>
      </c>
      <c r="AG30" s="37">
        <f t="shared" si="46"/>
        <v>3317.4</v>
      </c>
      <c r="AH30" s="37">
        <f t="shared" si="47"/>
        <v>4146.75</v>
      </c>
      <c r="AI30" s="37">
        <f t="shared" si="48"/>
        <v>3151.53</v>
      </c>
      <c r="AJ30" s="37">
        <f t="shared" si="49"/>
        <v>2985.66</v>
      </c>
      <c r="AK30" s="37">
        <f t="shared" si="50"/>
        <v>4146.75</v>
      </c>
      <c r="AL30" s="37">
        <f t="shared" si="51"/>
        <v>3151.53</v>
      </c>
      <c r="AM30" s="94">
        <v>1</v>
      </c>
    </row>
    <row r="31" spans="1:39" s="91" customFormat="1" ht="15.6">
      <c r="A31" s="87" t="s">
        <v>92</v>
      </c>
      <c r="B31" s="83" t="s">
        <v>465</v>
      </c>
      <c r="C31" s="88" t="s">
        <v>70</v>
      </c>
      <c r="D31" s="88" t="s">
        <v>820</v>
      </c>
      <c r="E31" s="88" t="s">
        <v>71</v>
      </c>
      <c r="F31" s="83" t="s">
        <v>29</v>
      </c>
      <c r="G31" s="89" t="s">
        <v>49</v>
      </c>
      <c r="H31" s="89" t="s">
        <v>60</v>
      </c>
      <c r="I31" s="108">
        <v>19</v>
      </c>
      <c r="J31" s="88" t="s">
        <v>45</v>
      </c>
      <c r="K31" s="38" t="s">
        <v>46</v>
      </c>
      <c r="L31" s="38" t="s">
        <v>34</v>
      </c>
      <c r="M31" s="90" t="s">
        <v>1</v>
      </c>
      <c r="N31" s="84">
        <v>165.87</v>
      </c>
      <c r="O31" s="84">
        <v>165.87</v>
      </c>
      <c r="P31" s="84">
        <v>209.51999999999998</v>
      </c>
      <c r="Q31" s="84">
        <v>174.6</v>
      </c>
      <c r="R31" s="84">
        <v>165.87</v>
      </c>
      <c r="S31" s="84">
        <v>200.79</v>
      </c>
      <c r="T31" s="84">
        <v>174.6</v>
      </c>
      <c r="U31" s="84">
        <v>218.25</v>
      </c>
      <c r="V31" s="84">
        <v>165.87</v>
      </c>
      <c r="W31" s="84">
        <v>157.13999999999999</v>
      </c>
      <c r="X31" s="84">
        <v>218.25</v>
      </c>
      <c r="Y31" s="84">
        <v>165.87</v>
      </c>
      <c r="Z31" s="88"/>
      <c r="AA31" s="37">
        <f t="shared" si="40"/>
        <v>3151.53</v>
      </c>
      <c r="AB31" s="37">
        <f t="shared" si="41"/>
        <v>3151.53</v>
      </c>
      <c r="AC31" s="37">
        <f t="shared" si="42"/>
        <v>3980.8799999999997</v>
      </c>
      <c r="AD31" s="37">
        <f t="shared" si="43"/>
        <v>3317.4</v>
      </c>
      <c r="AE31" s="37">
        <f t="shared" si="44"/>
        <v>3151.53</v>
      </c>
      <c r="AF31" s="37">
        <f t="shared" si="45"/>
        <v>3815.0099999999998</v>
      </c>
      <c r="AG31" s="37">
        <f t="shared" si="46"/>
        <v>3317.4</v>
      </c>
      <c r="AH31" s="37">
        <f t="shared" si="47"/>
        <v>4146.75</v>
      </c>
      <c r="AI31" s="37">
        <f t="shared" si="48"/>
        <v>3151.53</v>
      </c>
      <c r="AJ31" s="37">
        <f t="shared" si="49"/>
        <v>2985.66</v>
      </c>
      <c r="AK31" s="37">
        <f t="shared" si="50"/>
        <v>4146.75</v>
      </c>
      <c r="AL31" s="37">
        <f t="shared" si="51"/>
        <v>3151.53</v>
      </c>
      <c r="AM31" s="94">
        <v>1</v>
      </c>
    </row>
    <row r="32" spans="1:39" s="91" customFormat="1" ht="15.6">
      <c r="A32" s="87" t="s">
        <v>92</v>
      </c>
      <c r="B32" s="83" t="s">
        <v>465</v>
      </c>
      <c r="C32" s="38" t="s">
        <v>77</v>
      </c>
      <c r="D32" s="38" t="s">
        <v>821</v>
      </c>
      <c r="E32" s="88" t="s">
        <v>78</v>
      </c>
      <c r="F32" s="83" t="s">
        <v>29</v>
      </c>
      <c r="G32" s="83" t="s">
        <v>30</v>
      </c>
      <c r="H32" s="89" t="s">
        <v>31</v>
      </c>
      <c r="I32" s="108">
        <v>30.5</v>
      </c>
      <c r="J32" s="88" t="s">
        <v>45</v>
      </c>
      <c r="K32" s="38" t="s">
        <v>46</v>
      </c>
      <c r="L32" s="38" t="s">
        <v>34</v>
      </c>
      <c r="M32" s="90" t="s">
        <v>1</v>
      </c>
      <c r="N32" s="84">
        <v>165.87</v>
      </c>
      <c r="O32" s="84">
        <v>165.87</v>
      </c>
      <c r="P32" s="84">
        <v>209.51999999999998</v>
      </c>
      <c r="Q32" s="84">
        <v>165.87</v>
      </c>
      <c r="R32" s="84">
        <v>165.87</v>
      </c>
      <c r="S32" s="84">
        <v>209.51999999999998</v>
      </c>
      <c r="T32" s="84">
        <v>174.6</v>
      </c>
      <c r="U32" s="84">
        <v>218.25</v>
      </c>
      <c r="V32" s="84">
        <v>165.87</v>
      </c>
      <c r="W32" s="84">
        <v>157.13999999999999</v>
      </c>
      <c r="X32" s="84">
        <v>218.25</v>
      </c>
      <c r="Y32" s="84">
        <v>165.87</v>
      </c>
      <c r="Z32" s="88"/>
      <c r="AA32" s="37">
        <f t="shared" si="40"/>
        <v>5059.0349999999999</v>
      </c>
      <c r="AB32" s="37">
        <f t="shared" si="41"/>
        <v>5059.0349999999999</v>
      </c>
      <c r="AC32" s="37">
        <f t="shared" si="42"/>
        <v>6390.36</v>
      </c>
      <c r="AD32" s="37">
        <f t="shared" si="43"/>
        <v>5059.0349999999999</v>
      </c>
      <c r="AE32" s="37">
        <f t="shared" si="44"/>
        <v>5059.0349999999999</v>
      </c>
      <c r="AF32" s="37">
        <f t="shared" si="45"/>
        <v>6390.36</v>
      </c>
      <c r="AG32" s="37">
        <f t="shared" si="46"/>
        <v>5325.3</v>
      </c>
      <c r="AH32" s="37">
        <f t="shared" si="47"/>
        <v>6656.625</v>
      </c>
      <c r="AI32" s="37">
        <f t="shared" si="48"/>
        <v>5059.0349999999999</v>
      </c>
      <c r="AJ32" s="37">
        <f t="shared" si="49"/>
        <v>4792.7699999999995</v>
      </c>
      <c r="AK32" s="37">
        <f t="shared" si="50"/>
        <v>6656.625</v>
      </c>
      <c r="AL32" s="37">
        <f t="shared" si="51"/>
        <v>5059.0349999999999</v>
      </c>
      <c r="AM32" s="94">
        <v>1</v>
      </c>
    </row>
    <row r="33" spans="1:39" s="91" customFormat="1" ht="15.6">
      <c r="A33" s="87" t="s">
        <v>92</v>
      </c>
      <c r="B33" s="83" t="s">
        <v>465</v>
      </c>
      <c r="C33" s="38" t="s">
        <v>79</v>
      </c>
      <c r="D33" s="38" t="s">
        <v>822</v>
      </c>
      <c r="E33" s="88" t="s">
        <v>80</v>
      </c>
      <c r="F33" s="83" t="s">
        <v>29</v>
      </c>
      <c r="G33" s="89" t="s">
        <v>49</v>
      </c>
      <c r="H33" s="89" t="s">
        <v>31</v>
      </c>
      <c r="I33" s="108">
        <v>30.5</v>
      </c>
      <c r="J33" s="88" t="s">
        <v>45</v>
      </c>
      <c r="K33" s="38" t="s">
        <v>46</v>
      </c>
      <c r="L33" s="38" t="s">
        <v>34</v>
      </c>
      <c r="M33" s="90" t="s">
        <v>1</v>
      </c>
      <c r="N33" s="84">
        <v>165.87</v>
      </c>
      <c r="O33" s="84">
        <v>165.87</v>
      </c>
      <c r="P33" s="84">
        <v>209.51999999999998</v>
      </c>
      <c r="Q33" s="84">
        <v>174.6</v>
      </c>
      <c r="R33" s="84">
        <v>165.87</v>
      </c>
      <c r="S33" s="84">
        <v>200.79</v>
      </c>
      <c r="T33" s="84">
        <v>174.6</v>
      </c>
      <c r="U33" s="84">
        <v>218.25</v>
      </c>
      <c r="V33" s="84">
        <v>165.87</v>
      </c>
      <c r="W33" s="84">
        <v>157.13999999999999</v>
      </c>
      <c r="X33" s="84">
        <v>218.25</v>
      </c>
      <c r="Y33" s="84">
        <v>165.87</v>
      </c>
      <c r="Z33" s="88"/>
      <c r="AA33" s="37">
        <f t="shared" si="40"/>
        <v>5059.0349999999999</v>
      </c>
      <c r="AB33" s="37">
        <f t="shared" si="41"/>
        <v>5059.0349999999999</v>
      </c>
      <c r="AC33" s="37">
        <f t="shared" si="42"/>
        <v>6390.36</v>
      </c>
      <c r="AD33" s="37">
        <f t="shared" si="43"/>
        <v>5325.3</v>
      </c>
      <c r="AE33" s="37">
        <f t="shared" si="44"/>
        <v>5059.0349999999999</v>
      </c>
      <c r="AF33" s="37">
        <f t="shared" si="45"/>
        <v>6124.0949999999993</v>
      </c>
      <c r="AG33" s="37">
        <f t="shared" si="46"/>
        <v>5325.3</v>
      </c>
      <c r="AH33" s="37">
        <f t="shared" si="47"/>
        <v>6656.625</v>
      </c>
      <c r="AI33" s="37">
        <f t="shared" si="48"/>
        <v>5059.0349999999999</v>
      </c>
      <c r="AJ33" s="37">
        <f t="shared" si="49"/>
        <v>4792.7699999999995</v>
      </c>
      <c r="AK33" s="37">
        <f t="shared" si="50"/>
        <v>6656.625</v>
      </c>
      <c r="AL33" s="37">
        <f t="shared" si="51"/>
        <v>5059.0349999999999</v>
      </c>
      <c r="AM33" s="94">
        <v>1</v>
      </c>
    </row>
    <row r="34" spans="1:39" s="91" customFormat="1" ht="15.6">
      <c r="A34" s="87" t="s">
        <v>92</v>
      </c>
      <c r="B34" s="83" t="s">
        <v>465</v>
      </c>
      <c r="C34" s="38" t="s">
        <v>81</v>
      </c>
      <c r="D34" s="38" t="s">
        <v>823</v>
      </c>
      <c r="E34" s="88" t="s">
        <v>82</v>
      </c>
      <c r="F34" s="83" t="s">
        <v>29</v>
      </c>
      <c r="G34" s="89" t="s">
        <v>35</v>
      </c>
      <c r="H34" s="89">
        <v>4</v>
      </c>
      <c r="I34" s="108">
        <v>9</v>
      </c>
      <c r="J34" s="88" t="s">
        <v>45</v>
      </c>
      <c r="K34" s="38" t="s">
        <v>46</v>
      </c>
      <c r="L34" s="88" t="s">
        <v>34</v>
      </c>
      <c r="M34" s="90" t="s">
        <v>3</v>
      </c>
      <c r="N34" s="84">
        <v>166.84</v>
      </c>
      <c r="O34" s="84">
        <v>166.84</v>
      </c>
      <c r="P34" s="84">
        <v>210.48999999999998</v>
      </c>
      <c r="Q34" s="84">
        <v>166.84</v>
      </c>
      <c r="R34" s="84">
        <v>166.84</v>
      </c>
      <c r="S34" s="84">
        <v>202.73</v>
      </c>
      <c r="T34" s="84">
        <v>174.6</v>
      </c>
      <c r="U34" s="84">
        <v>218.25</v>
      </c>
      <c r="V34" s="84">
        <v>166.84</v>
      </c>
      <c r="W34" s="84">
        <v>159.07999999999998</v>
      </c>
      <c r="X34" s="84">
        <v>210.48999999999998</v>
      </c>
      <c r="Y34" s="84">
        <v>166.84</v>
      </c>
      <c r="Z34" s="38"/>
      <c r="AA34" s="37">
        <f t="shared" si="40"/>
        <v>1501.56</v>
      </c>
      <c r="AB34" s="37">
        <f t="shared" si="41"/>
        <v>1501.56</v>
      </c>
      <c r="AC34" s="37">
        <f t="shared" si="42"/>
        <v>1894.4099999999999</v>
      </c>
      <c r="AD34" s="37">
        <f t="shared" si="43"/>
        <v>1501.56</v>
      </c>
      <c r="AE34" s="37">
        <f t="shared" si="44"/>
        <v>1501.56</v>
      </c>
      <c r="AF34" s="37">
        <f t="shared" si="45"/>
        <v>1824.57</v>
      </c>
      <c r="AG34" s="37">
        <f t="shared" si="46"/>
        <v>1571.3999999999999</v>
      </c>
      <c r="AH34" s="37">
        <f t="shared" si="47"/>
        <v>1964.25</v>
      </c>
      <c r="AI34" s="37">
        <f t="shared" si="48"/>
        <v>1501.56</v>
      </c>
      <c r="AJ34" s="37">
        <f t="shared" si="49"/>
        <v>1431.7199999999998</v>
      </c>
      <c r="AK34" s="37">
        <f t="shared" si="50"/>
        <v>1894.4099999999999</v>
      </c>
      <c r="AL34" s="37">
        <f t="shared" si="51"/>
        <v>1501.56</v>
      </c>
      <c r="AM34" s="94">
        <v>1</v>
      </c>
    </row>
    <row r="35" spans="1:39" s="91" customFormat="1" ht="16.95" customHeight="1">
      <c r="A35" s="87" t="s">
        <v>92</v>
      </c>
      <c r="B35" s="83" t="s">
        <v>465</v>
      </c>
      <c r="C35" s="38" t="s">
        <v>83</v>
      </c>
      <c r="D35" s="38" t="s">
        <v>824</v>
      </c>
      <c r="E35" s="88" t="s">
        <v>84</v>
      </c>
      <c r="F35" s="83" t="s">
        <v>29</v>
      </c>
      <c r="G35" s="89" t="s">
        <v>35</v>
      </c>
      <c r="H35" s="89">
        <v>4</v>
      </c>
      <c r="I35" s="108">
        <v>9</v>
      </c>
      <c r="J35" s="88" t="s">
        <v>45</v>
      </c>
      <c r="K35" s="38" t="s">
        <v>46</v>
      </c>
      <c r="L35" s="88" t="s">
        <v>34</v>
      </c>
      <c r="M35" s="90" t="s">
        <v>3</v>
      </c>
      <c r="N35" s="84">
        <v>166.84</v>
      </c>
      <c r="O35" s="84">
        <v>166.84</v>
      </c>
      <c r="P35" s="84">
        <v>210.48999999999998</v>
      </c>
      <c r="Q35" s="84">
        <v>166.84</v>
      </c>
      <c r="R35" s="84">
        <v>166.84</v>
      </c>
      <c r="S35" s="84">
        <v>202.73</v>
      </c>
      <c r="T35" s="84">
        <v>174.6</v>
      </c>
      <c r="U35" s="84">
        <v>218.25</v>
      </c>
      <c r="V35" s="84">
        <v>166.84</v>
      </c>
      <c r="W35" s="84">
        <v>159.07999999999998</v>
      </c>
      <c r="X35" s="84">
        <v>210.48999999999998</v>
      </c>
      <c r="Y35" s="84">
        <v>166.84</v>
      </c>
      <c r="Z35" s="38"/>
      <c r="AA35" s="37">
        <f t="shared" si="40"/>
        <v>1501.56</v>
      </c>
      <c r="AB35" s="37">
        <f t="shared" si="41"/>
        <v>1501.56</v>
      </c>
      <c r="AC35" s="37">
        <f t="shared" si="42"/>
        <v>1894.4099999999999</v>
      </c>
      <c r="AD35" s="37">
        <f t="shared" si="43"/>
        <v>1501.56</v>
      </c>
      <c r="AE35" s="37">
        <f t="shared" si="44"/>
        <v>1501.56</v>
      </c>
      <c r="AF35" s="37">
        <f t="shared" si="45"/>
        <v>1824.57</v>
      </c>
      <c r="AG35" s="37">
        <f t="shared" si="46"/>
        <v>1571.3999999999999</v>
      </c>
      <c r="AH35" s="37">
        <f t="shared" si="47"/>
        <v>1964.25</v>
      </c>
      <c r="AI35" s="37">
        <f t="shared" si="48"/>
        <v>1501.56</v>
      </c>
      <c r="AJ35" s="37">
        <f t="shared" si="49"/>
        <v>1431.7199999999998</v>
      </c>
      <c r="AK35" s="37">
        <f t="shared" si="50"/>
        <v>1894.4099999999999</v>
      </c>
      <c r="AL35" s="37">
        <f t="shared" si="51"/>
        <v>1501.56</v>
      </c>
      <c r="AM35" s="94">
        <v>1</v>
      </c>
    </row>
    <row r="36" spans="1:39" s="46" customFormat="1" ht="15.6">
      <c r="A36" s="39" t="s">
        <v>92</v>
      </c>
      <c r="B36" s="40" t="s">
        <v>465</v>
      </c>
      <c r="C36" s="41" t="s">
        <v>4</v>
      </c>
      <c r="D36" s="41" t="s">
        <v>4</v>
      </c>
      <c r="E36" s="41" t="s">
        <v>4</v>
      </c>
      <c r="F36" s="40" t="s">
        <v>4</v>
      </c>
      <c r="G36" s="40" t="s">
        <v>4</v>
      </c>
      <c r="H36" s="42"/>
      <c r="I36" s="108"/>
      <c r="J36" s="41" t="s">
        <v>4</v>
      </c>
      <c r="K36" s="41" t="s">
        <v>4</v>
      </c>
      <c r="L36" s="41" t="s">
        <v>4</v>
      </c>
      <c r="M36" s="41" t="s">
        <v>4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79"/>
      <c r="AA36" s="44">
        <f t="shared" ref="AA36:AL36" si="52">((SUMIFS(AA1:AA391, $B$1:$B$391,"RARV5", $F$1:$F$391,"India")*0.15)+SUMIFS(AA1:AA391, $B$1:$B$391,"RARV5", $F$1:$F$391,"PH")*0.15)</f>
        <v>6395.6790000000001</v>
      </c>
      <c r="AB36" s="44">
        <f t="shared" si="52"/>
        <v>6073.4609999999984</v>
      </c>
      <c r="AC36" s="44">
        <f t="shared" si="52"/>
        <v>7643.5514999999987</v>
      </c>
      <c r="AD36" s="44">
        <f t="shared" si="52"/>
        <v>6409.3477499999999</v>
      </c>
      <c r="AE36" s="44">
        <f t="shared" si="52"/>
        <v>6172.9830000000002</v>
      </c>
      <c r="AF36" s="44">
        <f t="shared" si="52"/>
        <v>7692.6577500000003</v>
      </c>
      <c r="AG36" s="44">
        <f t="shared" si="52"/>
        <v>6495.1200000000017</v>
      </c>
      <c r="AH36" s="44">
        <f t="shared" si="52"/>
        <v>8118.9</v>
      </c>
      <c r="AI36" s="44">
        <f t="shared" si="52"/>
        <v>6172.9830000000002</v>
      </c>
      <c r="AJ36" s="44">
        <f t="shared" si="52"/>
        <v>5850.8459999999995</v>
      </c>
      <c r="AK36" s="44">
        <f t="shared" si="52"/>
        <v>7944.7365</v>
      </c>
      <c r="AL36" s="44">
        <f t="shared" si="52"/>
        <v>6172.9830000000002</v>
      </c>
      <c r="AM36" s="45"/>
    </row>
    <row r="37" spans="1:39" s="46" customFormat="1" ht="15.6">
      <c r="A37" s="39" t="s">
        <v>92</v>
      </c>
      <c r="B37" s="40" t="s">
        <v>465</v>
      </c>
      <c r="C37" s="41" t="s">
        <v>5</v>
      </c>
      <c r="D37" s="41" t="s">
        <v>5</v>
      </c>
      <c r="E37" s="41" t="s">
        <v>5</v>
      </c>
      <c r="F37" s="40" t="s">
        <v>5</v>
      </c>
      <c r="G37" s="40" t="s">
        <v>5</v>
      </c>
      <c r="H37" s="42"/>
      <c r="I37" s="108"/>
      <c r="J37" s="41" t="s">
        <v>5</v>
      </c>
      <c r="K37" s="41" t="s">
        <v>5</v>
      </c>
      <c r="L37" s="41" t="s">
        <v>5</v>
      </c>
      <c r="M37" s="41" t="s">
        <v>5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79"/>
      <c r="AA37" s="44">
        <v>2000</v>
      </c>
      <c r="AB37" s="44">
        <v>2000</v>
      </c>
      <c r="AC37" s="44">
        <v>2200</v>
      </c>
      <c r="AD37" s="44">
        <v>2000</v>
      </c>
      <c r="AE37" s="44">
        <v>2000</v>
      </c>
      <c r="AF37" s="44">
        <v>2200</v>
      </c>
      <c r="AG37" s="44">
        <v>2000</v>
      </c>
      <c r="AH37" s="44">
        <v>2200</v>
      </c>
      <c r="AI37" s="44">
        <v>2000</v>
      </c>
      <c r="AJ37" s="44">
        <v>2000</v>
      </c>
      <c r="AK37" s="44">
        <v>2200</v>
      </c>
      <c r="AL37" s="44">
        <v>2000</v>
      </c>
      <c r="AM37" s="45"/>
    </row>
    <row r="38" spans="1:39" s="46" customFormat="1" ht="15.6">
      <c r="A38" s="39" t="s">
        <v>92</v>
      </c>
      <c r="B38" s="40" t="s">
        <v>465</v>
      </c>
      <c r="C38" s="41" t="s">
        <v>6</v>
      </c>
      <c r="D38" s="41" t="s">
        <v>6</v>
      </c>
      <c r="E38" s="41" t="s">
        <v>6</v>
      </c>
      <c r="F38" s="40" t="s">
        <v>6</v>
      </c>
      <c r="G38" s="40" t="s">
        <v>6</v>
      </c>
      <c r="H38" s="42"/>
      <c r="I38" s="108"/>
      <c r="J38" s="41" t="s">
        <v>6</v>
      </c>
      <c r="K38" s="41" t="s">
        <v>6</v>
      </c>
      <c r="L38" s="41" t="s">
        <v>6</v>
      </c>
      <c r="M38" s="41" t="s">
        <v>6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79"/>
      <c r="AA38" s="44">
        <f>(54*8*4*0.6)</f>
        <v>1036.8</v>
      </c>
      <c r="AB38" s="44">
        <f>(54*8*4*0.6)</f>
        <v>1036.8</v>
      </c>
      <c r="AC38" s="44">
        <f>(54*8*5*0.6)</f>
        <v>1296</v>
      </c>
      <c r="AD38" s="44">
        <f>(54*8*4*0.6)</f>
        <v>1036.8</v>
      </c>
      <c r="AE38" s="44">
        <f>(54*8*4*0.6)</f>
        <v>1036.8</v>
      </c>
      <c r="AF38" s="44">
        <f>(54*8*5*0.6)</f>
        <v>1296</v>
      </c>
      <c r="AG38" s="44">
        <f>(54*8*4*0.6)</f>
        <v>1036.8</v>
      </c>
      <c r="AH38" s="44">
        <f>(54*8*5*0.6)</f>
        <v>1296</v>
      </c>
      <c r="AI38" s="44">
        <f>(54*8*4*0.6)</f>
        <v>1036.8</v>
      </c>
      <c r="AJ38" s="44">
        <f>(54*8*4*0.6)</f>
        <v>1036.8</v>
      </c>
      <c r="AK38" s="44">
        <f>(54*8*5*0.6)</f>
        <v>1296</v>
      </c>
      <c r="AL38" s="44">
        <f>(54*8*4*0.6)</f>
        <v>1036.8</v>
      </c>
      <c r="AM38" s="45"/>
    </row>
    <row r="39" spans="1:39" s="91" customFormat="1" ht="15.6">
      <c r="A39" s="87" t="s">
        <v>92</v>
      </c>
      <c r="B39" s="92" t="s">
        <v>743</v>
      </c>
      <c r="C39" s="38" t="s">
        <v>744</v>
      </c>
      <c r="D39" s="38" t="s">
        <v>825</v>
      </c>
      <c r="E39" s="111" t="s">
        <v>742</v>
      </c>
      <c r="F39" s="83" t="s">
        <v>112</v>
      </c>
      <c r="G39" s="89" t="s">
        <v>73</v>
      </c>
      <c r="H39" s="89">
        <v>9</v>
      </c>
      <c r="I39" s="108">
        <v>229.5</v>
      </c>
      <c r="J39" s="88" t="s">
        <v>473</v>
      </c>
      <c r="K39" s="38" t="s">
        <v>169</v>
      </c>
      <c r="L39" s="88" t="s">
        <v>74</v>
      </c>
      <c r="M39" s="90" t="s">
        <v>2</v>
      </c>
      <c r="N39" s="84">
        <v>152</v>
      </c>
      <c r="O39" s="84">
        <v>152</v>
      </c>
      <c r="P39" s="84">
        <v>80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>
        <v>0</v>
      </c>
      <c r="Y39" s="84">
        <v>0</v>
      </c>
      <c r="Z39" s="38" t="s">
        <v>1096</v>
      </c>
      <c r="AA39" s="37">
        <f t="shared" ref="AA39:AA40" si="53">$I39*N39</f>
        <v>34884</v>
      </c>
      <c r="AB39" s="37">
        <f t="shared" ref="AB39:AB40" si="54">$I39*O39</f>
        <v>34884</v>
      </c>
      <c r="AC39" s="37">
        <f t="shared" ref="AC39:AC40" si="55">$I39*P39</f>
        <v>18360</v>
      </c>
      <c r="AD39" s="37">
        <f t="shared" ref="AD39:AD40" si="56">$I39*Q39</f>
        <v>0</v>
      </c>
      <c r="AE39" s="37">
        <f t="shared" ref="AE39:AE40" si="57">$I39*R39</f>
        <v>0</v>
      </c>
      <c r="AF39" s="37">
        <f t="shared" ref="AF39:AF40" si="58">$I39*S39</f>
        <v>0</v>
      </c>
      <c r="AG39" s="37">
        <f t="shared" ref="AG39:AG40" si="59">$I39*T39</f>
        <v>0</v>
      </c>
      <c r="AH39" s="37">
        <f t="shared" ref="AH39:AH40" si="60">$I39*U39</f>
        <v>0</v>
      </c>
      <c r="AI39" s="37">
        <f t="shared" ref="AI39:AI40" si="61">$I39*V39</f>
        <v>0</v>
      </c>
      <c r="AJ39" s="37">
        <f t="shared" ref="AJ39:AJ40" si="62">$I39*W39</f>
        <v>0</v>
      </c>
      <c r="AK39" s="37">
        <f t="shared" ref="AK39:AK40" si="63">$I39*X39</f>
        <v>0</v>
      </c>
      <c r="AL39" s="37">
        <f t="shared" ref="AL39:AL40" si="64">$I39*Y39</f>
        <v>0</v>
      </c>
      <c r="AM39" s="120">
        <v>0</v>
      </c>
    </row>
    <row r="40" spans="1:39" s="91" customFormat="1" ht="15.6">
      <c r="A40" s="87" t="s">
        <v>92</v>
      </c>
      <c r="B40" s="92" t="s">
        <v>743</v>
      </c>
      <c r="C40" s="38" t="s">
        <v>555</v>
      </c>
      <c r="D40" s="38" t="s">
        <v>826</v>
      </c>
      <c r="E40" s="88" t="s">
        <v>472</v>
      </c>
      <c r="F40" s="83" t="s">
        <v>112</v>
      </c>
      <c r="G40" s="89" t="s">
        <v>73</v>
      </c>
      <c r="H40" s="89">
        <v>7</v>
      </c>
      <c r="I40" s="108">
        <v>126</v>
      </c>
      <c r="J40" s="88" t="s">
        <v>473</v>
      </c>
      <c r="K40" s="38" t="s">
        <v>169</v>
      </c>
      <c r="L40" s="88" t="s">
        <v>74</v>
      </c>
      <c r="M40" s="90" t="s">
        <v>3</v>
      </c>
      <c r="N40" s="84">
        <v>152</v>
      </c>
      <c r="O40" s="84">
        <v>152</v>
      </c>
      <c r="P40" s="84">
        <v>192</v>
      </c>
      <c r="Q40" s="84">
        <v>160</v>
      </c>
      <c r="R40" s="84">
        <v>152</v>
      </c>
      <c r="S40" s="84">
        <v>200</v>
      </c>
      <c r="T40" s="84">
        <v>152</v>
      </c>
      <c r="U40" s="84">
        <v>192</v>
      </c>
      <c r="V40" s="84">
        <v>152</v>
      </c>
      <c r="W40" s="84">
        <v>152</v>
      </c>
      <c r="X40" s="84">
        <v>192</v>
      </c>
      <c r="Y40" s="84">
        <v>152</v>
      </c>
      <c r="Z40" s="38"/>
      <c r="AA40" s="37">
        <f t="shared" si="53"/>
        <v>19152</v>
      </c>
      <c r="AB40" s="37">
        <f t="shared" si="54"/>
        <v>19152</v>
      </c>
      <c r="AC40" s="37">
        <f t="shared" si="55"/>
        <v>24192</v>
      </c>
      <c r="AD40" s="37">
        <f t="shared" si="56"/>
        <v>20160</v>
      </c>
      <c r="AE40" s="37">
        <f t="shared" si="57"/>
        <v>19152</v>
      </c>
      <c r="AF40" s="37">
        <f t="shared" si="58"/>
        <v>25200</v>
      </c>
      <c r="AG40" s="37">
        <f t="shared" si="59"/>
        <v>19152</v>
      </c>
      <c r="AH40" s="37">
        <f t="shared" si="60"/>
        <v>24192</v>
      </c>
      <c r="AI40" s="37">
        <f t="shared" si="61"/>
        <v>19152</v>
      </c>
      <c r="AJ40" s="37">
        <f t="shared" si="62"/>
        <v>19152</v>
      </c>
      <c r="AK40" s="37">
        <f t="shared" si="63"/>
        <v>24192</v>
      </c>
      <c r="AL40" s="37">
        <f t="shared" si="64"/>
        <v>19152</v>
      </c>
      <c r="AM40" s="120">
        <v>1</v>
      </c>
    </row>
    <row r="41" spans="1:39" s="91" customFormat="1" ht="15.6">
      <c r="A41" s="87" t="s">
        <v>92</v>
      </c>
      <c r="B41" s="92" t="s">
        <v>743</v>
      </c>
      <c r="C41" s="38"/>
      <c r="D41" s="38" t="s">
        <v>807</v>
      </c>
      <c r="E41" s="88"/>
      <c r="F41" s="83"/>
      <c r="G41" s="89"/>
      <c r="H41" s="89"/>
      <c r="I41" s="108"/>
      <c r="J41" s="88"/>
      <c r="K41" s="38"/>
      <c r="L41" s="88" t="s">
        <v>74</v>
      </c>
      <c r="M41" s="90" t="s">
        <v>2</v>
      </c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38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0"/>
    </row>
    <row r="42" spans="1:39" s="46" customFormat="1" ht="15.6">
      <c r="A42" s="39" t="s">
        <v>92</v>
      </c>
      <c r="B42" s="40" t="s">
        <v>743</v>
      </c>
      <c r="C42" s="41" t="s">
        <v>4</v>
      </c>
      <c r="D42" s="41" t="s">
        <v>4</v>
      </c>
      <c r="E42" s="41" t="s">
        <v>4</v>
      </c>
      <c r="F42" s="40" t="s">
        <v>4</v>
      </c>
      <c r="G42" s="40" t="s">
        <v>4</v>
      </c>
      <c r="H42" s="42"/>
      <c r="I42" s="108"/>
      <c r="J42" s="41" t="s">
        <v>4</v>
      </c>
      <c r="K42" s="41" t="s">
        <v>4</v>
      </c>
      <c r="L42" s="41" t="s">
        <v>4</v>
      </c>
      <c r="M42" s="41" t="s">
        <v>4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79"/>
      <c r="AA42" s="44">
        <f t="shared" ref="AA42:AL42" si="65">((SUMIFS(AA1:AA391, $B$1:$B$391,"RATF0", $F$1:$F$391,"India")*0.15)+SUMIFS(AA1:AA391, $B$1:$B$391,"RATF0", $F$1:$F$391,"PH")*0.15)</f>
        <v>0</v>
      </c>
      <c r="AB42" s="44">
        <f t="shared" si="65"/>
        <v>0</v>
      </c>
      <c r="AC42" s="44">
        <f t="shared" si="65"/>
        <v>0</v>
      </c>
      <c r="AD42" s="44">
        <f t="shared" si="65"/>
        <v>0</v>
      </c>
      <c r="AE42" s="44">
        <f t="shared" si="65"/>
        <v>0</v>
      </c>
      <c r="AF42" s="44">
        <f t="shared" si="65"/>
        <v>0</v>
      </c>
      <c r="AG42" s="44">
        <f t="shared" si="65"/>
        <v>0</v>
      </c>
      <c r="AH42" s="44">
        <f t="shared" si="65"/>
        <v>0</v>
      </c>
      <c r="AI42" s="44">
        <f t="shared" si="65"/>
        <v>0</v>
      </c>
      <c r="AJ42" s="44">
        <f t="shared" si="65"/>
        <v>0</v>
      </c>
      <c r="AK42" s="44">
        <f t="shared" si="65"/>
        <v>0</v>
      </c>
      <c r="AL42" s="44">
        <f t="shared" si="65"/>
        <v>0</v>
      </c>
      <c r="AM42" s="45"/>
    </row>
    <row r="43" spans="1:39" s="46" customFormat="1" ht="15.6">
      <c r="A43" s="39" t="s">
        <v>92</v>
      </c>
      <c r="B43" s="40" t="s">
        <v>743</v>
      </c>
      <c r="C43" s="41" t="s">
        <v>5</v>
      </c>
      <c r="D43" s="41" t="s">
        <v>5</v>
      </c>
      <c r="E43" s="41" t="s">
        <v>5</v>
      </c>
      <c r="F43" s="40" t="s">
        <v>5</v>
      </c>
      <c r="G43" s="40" t="s">
        <v>5</v>
      </c>
      <c r="H43" s="42"/>
      <c r="I43" s="108"/>
      <c r="J43" s="41" t="s">
        <v>5</v>
      </c>
      <c r="K43" s="41" t="s">
        <v>5</v>
      </c>
      <c r="L43" s="41" t="s">
        <v>5</v>
      </c>
      <c r="M43" s="41" t="s">
        <v>5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79"/>
      <c r="AA43" s="44">
        <v>500</v>
      </c>
      <c r="AB43" s="44">
        <v>500</v>
      </c>
      <c r="AC43" s="44">
        <v>600</v>
      </c>
      <c r="AD43" s="44">
        <v>500</v>
      </c>
      <c r="AE43" s="44">
        <v>500</v>
      </c>
      <c r="AF43" s="44">
        <v>600</v>
      </c>
      <c r="AG43" s="44">
        <v>500</v>
      </c>
      <c r="AH43" s="44">
        <v>600</v>
      </c>
      <c r="AI43" s="44">
        <v>500</v>
      </c>
      <c r="AJ43" s="44">
        <v>500</v>
      </c>
      <c r="AK43" s="44">
        <v>600</v>
      </c>
      <c r="AL43" s="44">
        <v>500</v>
      </c>
      <c r="AM43" s="45"/>
    </row>
    <row r="44" spans="1:39" s="46" customFormat="1" ht="15.6">
      <c r="A44" s="39" t="s">
        <v>92</v>
      </c>
      <c r="B44" s="40" t="s">
        <v>743</v>
      </c>
      <c r="C44" s="41" t="s">
        <v>6</v>
      </c>
      <c r="D44" s="41" t="s">
        <v>6</v>
      </c>
      <c r="E44" s="41" t="s">
        <v>6</v>
      </c>
      <c r="F44" s="40" t="s">
        <v>6</v>
      </c>
      <c r="G44" s="40" t="s">
        <v>6</v>
      </c>
      <c r="H44" s="42"/>
      <c r="I44" s="108"/>
      <c r="J44" s="41" t="s">
        <v>6</v>
      </c>
      <c r="K44" s="41" t="s">
        <v>6</v>
      </c>
      <c r="L44" s="41" t="s">
        <v>6</v>
      </c>
      <c r="M44" s="41" t="s">
        <v>6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79"/>
      <c r="AA44" s="44">
        <f>(54*8*4*0.6)</f>
        <v>1036.8</v>
      </c>
      <c r="AB44" s="44">
        <f>(54*8*4*0.6)</f>
        <v>1036.8</v>
      </c>
      <c r="AC44" s="44">
        <f>(54*8*5*0.6)</f>
        <v>1296</v>
      </c>
      <c r="AD44" s="44">
        <f>(54*8*4*0.6)</f>
        <v>1036.8</v>
      </c>
      <c r="AE44" s="44">
        <f>(54*8*4*0.6)</f>
        <v>1036.8</v>
      </c>
      <c r="AF44" s="44">
        <f>(54*8*5*0.6)</f>
        <v>1296</v>
      </c>
      <c r="AG44" s="44">
        <f>(54*8*4*0.6)</f>
        <v>1036.8</v>
      </c>
      <c r="AH44" s="44">
        <f>(54*8*5*0.6)</f>
        <v>1296</v>
      </c>
      <c r="AI44" s="44">
        <f>(54*8*4*0.6)</f>
        <v>1036.8</v>
      </c>
      <c r="AJ44" s="44">
        <f>(54*8*4*0.6)</f>
        <v>1036.8</v>
      </c>
      <c r="AK44" s="44">
        <f>(54*8*5*0.6)</f>
        <v>1296</v>
      </c>
      <c r="AL44" s="44">
        <f>(54*8*4*0.6)</f>
        <v>1036.8</v>
      </c>
      <c r="AM44" s="45"/>
    </row>
    <row r="45" spans="1:39" s="91" customFormat="1" ht="15.6">
      <c r="A45" s="87" t="s">
        <v>92</v>
      </c>
      <c r="B45" s="92" t="s">
        <v>121</v>
      </c>
      <c r="C45" s="38" t="s">
        <v>550</v>
      </c>
      <c r="D45" s="38" t="s">
        <v>827</v>
      </c>
      <c r="E45" s="88" t="s">
        <v>134</v>
      </c>
      <c r="F45" s="83" t="s">
        <v>72</v>
      </c>
      <c r="G45" s="89" t="s">
        <v>73</v>
      </c>
      <c r="H45" s="89">
        <v>7</v>
      </c>
      <c r="I45" s="108">
        <v>112</v>
      </c>
      <c r="J45" s="88" t="s">
        <v>91</v>
      </c>
      <c r="K45" s="38" t="s">
        <v>135</v>
      </c>
      <c r="L45" s="38" t="s">
        <v>74</v>
      </c>
      <c r="M45" s="90" t="s">
        <v>2</v>
      </c>
      <c r="N45" s="84">
        <v>152</v>
      </c>
      <c r="O45" s="84">
        <v>152</v>
      </c>
      <c r="P45" s="84">
        <v>192</v>
      </c>
      <c r="Q45" s="84">
        <v>160</v>
      </c>
      <c r="R45" s="84">
        <v>152</v>
      </c>
      <c r="S45" s="84">
        <v>200</v>
      </c>
      <c r="T45" s="84">
        <v>152</v>
      </c>
      <c r="U45" s="84">
        <v>192</v>
      </c>
      <c r="V45" s="84">
        <v>152</v>
      </c>
      <c r="W45" s="84">
        <v>152</v>
      </c>
      <c r="X45" s="84">
        <v>192</v>
      </c>
      <c r="Y45" s="84">
        <v>152</v>
      </c>
      <c r="Z45" s="38"/>
      <c r="AA45" s="37">
        <f t="shared" ref="AA45:AA111" si="66">$I45*N45</f>
        <v>17024</v>
      </c>
      <c r="AB45" s="37">
        <f t="shared" ref="AB45:AB111" si="67">$I45*O45</f>
        <v>17024</v>
      </c>
      <c r="AC45" s="37">
        <f t="shared" ref="AC45:AC111" si="68">$I45*P45</f>
        <v>21504</v>
      </c>
      <c r="AD45" s="37">
        <f t="shared" ref="AD45:AD111" si="69">$I45*Q45</f>
        <v>17920</v>
      </c>
      <c r="AE45" s="37">
        <f t="shared" ref="AE45:AE111" si="70">$I45*R45</f>
        <v>17024</v>
      </c>
      <c r="AF45" s="37">
        <f t="shared" ref="AF45:AF111" si="71">$I45*S45</f>
        <v>22400</v>
      </c>
      <c r="AG45" s="37">
        <f t="shared" ref="AG45:AG111" si="72">$I45*T45</f>
        <v>17024</v>
      </c>
      <c r="AH45" s="37">
        <f t="shared" ref="AH45:AH111" si="73">$I45*U45</f>
        <v>21504</v>
      </c>
      <c r="AI45" s="37">
        <f t="shared" ref="AI45:AI111" si="74">$I45*V45</f>
        <v>17024</v>
      </c>
      <c r="AJ45" s="37">
        <f t="shared" ref="AJ45:AJ111" si="75">$I45*W45</f>
        <v>17024</v>
      </c>
      <c r="AK45" s="37">
        <f t="shared" ref="AK45:AK111" si="76">$I45*X45</f>
        <v>21504</v>
      </c>
      <c r="AL45" s="37">
        <f t="shared" ref="AL45:AL111" si="77">$I45*Y45</f>
        <v>17024</v>
      </c>
      <c r="AM45" s="120">
        <v>1</v>
      </c>
    </row>
    <row r="46" spans="1:39" s="91" customFormat="1" ht="15.6">
      <c r="A46" s="87" t="s">
        <v>92</v>
      </c>
      <c r="B46" s="92" t="s">
        <v>121</v>
      </c>
      <c r="C46" s="38" t="s">
        <v>37</v>
      </c>
      <c r="D46" s="38" t="s">
        <v>828</v>
      </c>
      <c r="E46" s="88" t="s">
        <v>38</v>
      </c>
      <c r="F46" s="89" t="s">
        <v>29</v>
      </c>
      <c r="G46" s="89" t="s">
        <v>39</v>
      </c>
      <c r="H46" s="83" t="s">
        <v>31</v>
      </c>
      <c r="I46" s="108">
        <v>41</v>
      </c>
      <c r="J46" s="88" t="s">
        <v>45</v>
      </c>
      <c r="K46" s="38" t="s">
        <v>147</v>
      </c>
      <c r="L46" s="38" t="s">
        <v>34</v>
      </c>
      <c r="M46" s="90" t="s">
        <v>1</v>
      </c>
      <c r="N46" s="84">
        <v>165.87</v>
      </c>
      <c r="O46" s="84">
        <v>165.87</v>
      </c>
      <c r="P46" s="84">
        <v>209.51999999999998</v>
      </c>
      <c r="Q46" s="84">
        <v>174.6</v>
      </c>
      <c r="R46" s="84">
        <v>165.87</v>
      </c>
      <c r="S46" s="84">
        <v>90</v>
      </c>
      <c r="T46" s="84"/>
      <c r="U46" s="84"/>
      <c r="V46" s="84"/>
      <c r="W46" s="84"/>
      <c r="X46" s="84"/>
      <c r="Y46" s="84"/>
      <c r="Z46" s="88" t="s">
        <v>1196</v>
      </c>
      <c r="AA46" s="37">
        <f t="shared" si="66"/>
        <v>6800.67</v>
      </c>
      <c r="AB46" s="37">
        <f t="shared" si="67"/>
        <v>6800.67</v>
      </c>
      <c r="AC46" s="37">
        <f t="shared" si="68"/>
        <v>8590.32</v>
      </c>
      <c r="AD46" s="37">
        <f t="shared" si="69"/>
        <v>7158.5999999999995</v>
      </c>
      <c r="AE46" s="37">
        <f t="shared" si="70"/>
        <v>6800.67</v>
      </c>
      <c r="AF46" s="37">
        <f t="shared" si="71"/>
        <v>3690</v>
      </c>
      <c r="AG46" s="37">
        <f t="shared" si="72"/>
        <v>0</v>
      </c>
      <c r="AH46" s="37">
        <f t="shared" si="73"/>
        <v>0</v>
      </c>
      <c r="AI46" s="37">
        <f t="shared" si="74"/>
        <v>0</v>
      </c>
      <c r="AJ46" s="37">
        <f t="shared" si="75"/>
        <v>0</v>
      </c>
      <c r="AK46" s="37">
        <f t="shared" si="76"/>
        <v>0</v>
      </c>
      <c r="AL46" s="37">
        <f t="shared" si="77"/>
        <v>0</v>
      </c>
      <c r="AM46" s="120">
        <v>0</v>
      </c>
    </row>
    <row r="47" spans="1:39" s="91" customFormat="1" ht="15.6">
      <c r="A47" s="87" t="s">
        <v>92</v>
      </c>
      <c r="B47" s="83" t="s">
        <v>121</v>
      </c>
      <c r="C47" s="38" t="s">
        <v>118</v>
      </c>
      <c r="D47" s="38" t="s">
        <v>829</v>
      </c>
      <c r="E47" s="88" t="s">
        <v>119</v>
      </c>
      <c r="F47" s="83" t="s">
        <v>68</v>
      </c>
      <c r="G47" s="89" t="s">
        <v>69</v>
      </c>
      <c r="H47" s="83">
        <v>8</v>
      </c>
      <c r="I47" s="108">
        <v>60.5</v>
      </c>
      <c r="J47" s="88" t="s">
        <v>91</v>
      </c>
      <c r="K47" s="38" t="s">
        <v>95</v>
      </c>
      <c r="L47" s="88" t="s">
        <v>34</v>
      </c>
      <c r="M47" s="131" t="s">
        <v>1</v>
      </c>
      <c r="N47" s="36">
        <v>165.87</v>
      </c>
      <c r="O47" s="36">
        <v>165.87</v>
      </c>
      <c r="P47" s="36">
        <v>218.25</v>
      </c>
      <c r="Q47" s="36">
        <v>148.41</v>
      </c>
      <c r="R47" s="36">
        <v>165.87</v>
      </c>
      <c r="S47" s="36">
        <v>209</v>
      </c>
      <c r="T47" s="36">
        <v>174.6</v>
      </c>
      <c r="U47" s="36">
        <v>200.79</v>
      </c>
      <c r="V47" s="36">
        <v>165.87</v>
      </c>
      <c r="W47" s="36">
        <v>174.6</v>
      </c>
      <c r="X47" s="36">
        <v>218.25</v>
      </c>
      <c r="Y47" s="36">
        <v>148.41</v>
      </c>
      <c r="Z47" s="38"/>
      <c r="AA47" s="37">
        <f t="shared" si="66"/>
        <v>10035.135</v>
      </c>
      <c r="AB47" s="37">
        <f t="shared" si="67"/>
        <v>10035.135</v>
      </c>
      <c r="AC47" s="37">
        <f t="shared" si="68"/>
        <v>13204.125</v>
      </c>
      <c r="AD47" s="37">
        <f t="shared" si="69"/>
        <v>8978.8050000000003</v>
      </c>
      <c r="AE47" s="37">
        <f t="shared" si="70"/>
        <v>10035.135</v>
      </c>
      <c r="AF47" s="37">
        <f t="shared" si="71"/>
        <v>12644.5</v>
      </c>
      <c r="AG47" s="37">
        <f t="shared" si="72"/>
        <v>10563.3</v>
      </c>
      <c r="AH47" s="37">
        <f t="shared" si="73"/>
        <v>12147.795</v>
      </c>
      <c r="AI47" s="37">
        <f t="shared" si="74"/>
        <v>10035.135</v>
      </c>
      <c r="AJ47" s="37">
        <f t="shared" si="75"/>
        <v>10563.3</v>
      </c>
      <c r="AK47" s="37">
        <f t="shared" si="76"/>
        <v>13204.125</v>
      </c>
      <c r="AL47" s="37">
        <f t="shared" si="77"/>
        <v>8978.8050000000003</v>
      </c>
      <c r="AM47" s="120">
        <v>1</v>
      </c>
    </row>
    <row r="48" spans="1:39" s="91" customFormat="1" ht="15.6">
      <c r="A48" s="87" t="s">
        <v>92</v>
      </c>
      <c r="B48" s="92" t="s">
        <v>121</v>
      </c>
      <c r="C48" s="38" t="s">
        <v>553</v>
      </c>
      <c r="D48" s="38" t="s">
        <v>830</v>
      </c>
      <c r="E48" s="88" t="s">
        <v>148</v>
      </c>
      <c r="F48" s="83" t="s">
        <v>72</v>
      </c>
      <c r="G48" s="89" t="s">
        <v>73</v>
      </c>
      <c r="H48" s="89">
        <v>7</v>
      </c>
      <c r="I48" s="108">
        <v>88.5</v>
      </c>
      <c r="J48" s="88" t="s">
        <v>45</v>
      </c>
      <c r="K48" s="38" t="s">
        <v>147</v>
      </c>
      <c r="L48" s="38" t="s">
        <v>74</v>
      </c>
      <c r="M48" s="90" t="s">
        <v>2</v>
      </c>
      <c r="N48" s="84">
        <v>152</v>
      </c>
      <c r="O48" s="84">
        <v>152</v>
      </c>
      <c r="P48" s="84">
        <v>192</v>
      </c>
      <c r="Q48" s="84">
        <v>160</v>
      </c>
      <c r="R48" s="84">
        <v>152</v>
      </c>
      <c r="S48" s="84">
        <v>200</v>
      </c>
      <c r="T48" s="84">
        <v>152</v>
      </c>
      <c r="U48" s="84">
        <v>192</v>
      </c>
      <c r="V48" s="84">
        <v>152</v>
      </c>
      <c r="W48" s="84">
        <v>152</v>
      </c>
      <c r="X48" s="84">
        <v>192</v>
      </c>
      <c r="Y48" s="84">
        <v>152</v>
      </c>
      <c r="Z48" s="38"/>
      <c r="AA48" s="37">
        <f t="shared" si="66"/>
        <v>13452</v>
      </c>
      <c r="AB48" s="37">
        <f t="shared" si="67"/>
        <v>13452</v>
      </c>
      <c r="AC48" s="37">
        <f t="shared" si="68"/>
        <v>16992</v>
      </c>
      <c r="AD48" s="37">
        <f t="shared" si="69"/>
        <v>14160</v>
      </c>
      <c r="AE48" s="37">
        <f t="shared" si="70"/>
        <v>13452</v>
      </c>
      <c r="AF48" s="37">
        <f t="shared" si="71"/>
        <v>17700</v>
      </c>
      <c r="AG48" s="37">
        <f t="shared" si="72"/>
        <v>13452</v>
      </c>
      <c r="AH48" s="37">
        <f t="shared" si="73"/>
        <v>16992</v>
      </c>
      <c r="AI48" s="37">
        <f t="shared" si="74"/>
        <v>13452</v>
      </c>
      <c r="AJ48" s="37">
        <f t="shared" si="75"/>
        <v>13452</v>
      </c>
      <c r="AK48" s="37">
        <f t="shared" si="76"/>
        <v>16992</v>
      </c>
      <c r="AL48" s="37">
        <f t="shared" si="77"/>
        <v>13452</v>
      </c>
      <c r="AM48" s="120">
        <v>1</v>
      </c>
    </row>
    <row r="49" spans="1:39" s="91" customFormat="1" ht="15.6">
      <c r="A49" s="87" t="s">
        <v>92</v>
      </c>
      <c r="B49" s="92" t="s">
        <v>121</v>
      </c>
      <c r="C49" s="96" t="s">
        <v>130</v>
      </c>
      <c r="D49" s="96" t="s">
        <v>831</v>
      </c>
      <c r="E49" s="88" t="s">
        <v>131</v>
      </c>
      <c r="F49" s="89" t="s">
        <v>29</v>
      </c>
      <c r="G49" s="89" t="s">
        <v>49</v>
      </c>
      <c r="H49" s="89" t="s">
        <v>31</v>
      </c>
      <c r="I49" s="108">
        <v>30.5</v>
      </c>
      <c r="J49" s="88" t="s">
        <v>91</v>
      </c>
      <c r="K49" s="38" t="s">
        <v>129</v>
      </c>
      <c r="L49" s="38" t="s">
        <v>34</v>
      </c>
      <c r="M49" s="90" t="s">
        <v>1</v>
      </c>
      <c r="N49" s="84">
        <v>165.87</v>
      </c>
      <c r="O49" s="84">
        <v>165.87</v>
      </c>
      <c r="P49" s="84">
        <v>209.51999999999998</v>
      </c>
      <c r="Q49" s="84">
        <v>174.6</v>
      </c>
      <c r="R49" s="84">
        <v>126</v>
      </c>
      <c r="S49" s="84">
        <v>200.79</v>
      </c>
      <c r="T49" s="84">
        <v>174.6</v>
      </c>
      <c r="U49" s="84">
        <v>218.25</v>
      </c>
      <c r="V49" s="84">
        <v>165.87</v>
      </c>
      <c r="W49" s="84">
        <v>157.13999999999999</v>
      </c>
      <c r="X49" s="84">
        <v>218.25</v>
      </c>
      <c r="Y49" s="84">
        <v>165.87</v>
      </c>
      <c r="Z49" s="38"/>
      <c r="AA49" s="37">
        <f t="shared" si="66"/>
        <v>5059.0349999999999</v>
      </c>
      <c r="AB49" s="37">
        <f t="shared" si="67"/>
        <v>5059.0349999999999</v>
      </c>
      <c r="AC49" s="37">
        <f t="shared" si="68"/>
        <v>6390.36</v>
      </c>
      <c r="AD49" s="37">
        <f t="shared" si="69"/>
        <v>5325.3</v>
      </c>
      <c r="AE49" s="37">
        <f t="shared" si="70"/>
        <v>3843</v>
      </c>
      <c r="AF49" s="37">
        <f t="shared" si="71"/>
        <v>6124.0949999999993</v>
      </c>
      <c r="AG49" s="37">
        <f t="shared" si="72"/>
        <v>5325.3</v>
      </c>
      <c r="AH49" s="37">
        <f t="shared" si="73"/>
        <v>6656.625</v>
      </c>
      <c r="AI49" s="37">
        <f t="shared" si="74"/>
        <v>5059.0349999999999</v>
      </c>
      <c r="AJ49" s="37">
        <f t="shared" si="75"/>
        <v>4792.7699999999995</v>
      </c>
      <c r="AK49" s="37">
        <f t="shared" si="76"/>
        <v>6656.625</v>
      </c>
      <c r="AL49" s="37">
        <f t="shared" si="77"/>
        <v>5059.0349999999999</v>
      </c>
      <c r="AM49" s="120">
        <v>1</v>
      </c>
    </row>
    <row r="50" spans="1:39" s="91" customFormat="1" ht="15.6">
      <c r="A50" s="87" t="s">
        <v>92</v>
      </c>
      <c r="B50" s="92" t="s">
        <v>121</v>
      </c>
      <c r="C50" s="96" t="s">
        <v>736</v>
      </c>
      <c r="D50" s="96" t="s">
        <v>800</v>
      </c>
      <c r="E50" s="88" t="s">
        <v>735</v>
      </c>
      <c r="F50" s="89" t="s">
        <v>29</v>
      </c>
      <c r="G50" s="89" t="s">
        <v>49</v>
      </c>
      <c r="H50" s="89" t="s">
        <v>31</v>
      </c>
      <c r="I50" s="108">
        <v>30.5</v>
      </c>
      <c r="J50" s="88" t="s">
        <v>91</v>
      </c>
      <c r="K50" s="38" t="s">
        <v>129</v>
      </c>
      <c r="L50" s="38" t="s">
        <v>34</v>
      </c>
      <c r="M50" s="90" t="s">
        <v>1</v>
      </c>
      <c r="N50" s="84"/>
      <c r="O50" s="84">
        <v>165.87</v>
      </c>
      <c r="P50" s="84">
        <v>209.51999999999998</v>
      </c>
      <c r="Q50" s="84">
        <v>174.6</v>
      </c>
      <c r="R50" s="84">
        <v>165.87</v>
      </c>
      <c r="S50" s="84">
        <v>200.79</v>
      </c>
      <c r="T50" s="84">
        <v>174.6</v>
      </c>
      <c r="U50" s="84">
        <v>218.25</v>
      </c>
      <c r="V50" s="84">
        <v>165.87</v>
      </c>
      <c r="W50" s="84">
        <v>157.13999999999999</v>
      </c>
      <c r="X50" s="84">
        <v>218.25</v>
      </c>
      <c r="Y50" s="84">
        <v>165.87</v>
      </c>
      <c r="Z50" s="38"/>
      <c r="AA50" s="37">
        <f t="shared" si="66"/>
        <v>0</v>
      </c>
      <c r="AB50" s="37">
        <f t="shared" si="67"/>
        <v>5059.0349999999999</v>
      </c>
      <c r="AC50" s="37">
        <f t="shared" si="68"/>
        <v>6390.36</v>
      </c>
      <c r="AD50" s="37">
        <f t="shared" si="69"/>
        <v>5325.3</v>
      </c>
      <c r="AE50" s="37">
        <f t="shared" si="70"/>
        <v>5059.0349999999999</v>
      </c>
      <c r="AF50" s="37">
        <f t="shared" si="71"/>
        <v>6124.0949999999993</v>
      </c>
      <c r="AG50" s="37">
        <f t="shared" si="72"/>
        <v>5325.3</v>
      </c>
      <c r="AH50" s="37">
        <f t="shared" si="73"/>
        <v>6656.625</v>
      </c>
      <c r="AI50" s="37">
        <f t="shared" si="74"/>
        <v>5059.0349999999999</v>
      </c>
      <c r="AJ50" s="37">
        <f t="shared" si="75"/>
        <v>4792.7699999999995</v>
      </c>
      <c r="AK50" s="37">
        <f t="shared" si="76"/>
        <v>6656.625</v>
      </c>
      <c r="AL50" s="37">
        <f t="shared" si="77"/>
        <v>5059.0349999999999</v>
      </c>
      <c r="AM50" s="120">
        <v>1</v>
      </c>
    </row>
    <row r="51" spans="1:39" s="91" customFormat="1" ht="15.6">
      <c r="A51" s="87" t="s">
        <v>92</v>
      </c>
      <c r="B51" s="92" t="s">
        <v>121</v>
      </c>
      <c r="C51" s="38" t="s">
        <v>132</v>
      </c>
      <c r="D51" s="38" t="s">
        <v>832</v>
      </c>
      <c r="E51" s="38" t="s">
        <v>133</v>
      </c>
      <c r="F51" s="83" t="s">
        <v>68</v>
      </c>
      <c r="G51" s="89" t="s">
        <v>69</v>
      </c>
      <c r="H51" s="83" t="s">
        <v>36</v>
      </c>
      <c r="I51" s="108">
        <v>47</v>
      </c>
      <c r="J51" s="88" t="s">
        <v>91</v>
      </c>
      <c r="K51" s="38" t="s">
        <v>127</v>
      </c>
      <c r="L51" s="38" t="s">
        <v>34</v>
      </c>
      <c r="M51" s="90" t="s">
        <v>1</v>
      </c>
      <c r="N51" s="36">
        <v>165.87</v>
      </c>
      <c r="O51" s="36">
        <v>165.87</v>
      </c>
      <c r="P51" s="36">
        <v>218.25</v>
      </c>
      <c r="Q51" s="36">
        <v>148.41</v>
      </c>
      <c r="R51" s="36">
        <v>165.87</v>
      </c>
      <c r="S51" s="36">
        <v>209</v>
      </c>
      <c r="T51" s="36">
        <v>174.6</v>
      </c>
      <c r="U51" s="36">
        <v>200.79</v>
      </c>
      <c r="V51" s="36">
        <v>165.87</v>
      </c>
      <c r="W51" s="36">
        <v>174.6</v>
      </c>
      <c r="X51" s="36">
        <v>218.25</v>
      </c>
      <c r="Y51" s="36">
        <v>148.41</v>
      </c>
      <c r="Z51" s="38"/>
      <c r="AA51" s="37">
        <f t="shared" si="66"/>
        <v>7795.89</v>
      </c>
      <c r="AB51" s="37">
        <f t="shared" si="67"/>
        <v>7795.89</v>
      </c>
      <c r="AC51" s="37">
        <f t="shared" si="68"/>
        <v>10257.75</v>
      </c>
      <c r="AD51" s="37">
        <f t="shared" si="69"/>
        <v>6975.2699999999995</v>
      </c>
      <c r="AE51" s="37">
        <f t="shared" si="70"/>
        <v>7795.89</v>
      </c>
      <c r="AF51" s="37">
        <f t="shared" si="71"/>
        <v>9823</v>
      </c>
      <c r="AG51" s="37">
        <f t="shared" si="72"/>
        <v>8206.1999999999989</v>
      </c>
      <c r="AH51" s="37">
        <f t="shared" si="73"/>
        <v>9437.1299999999992</v>
      </c>
      <c r="AI51" s="37">
        <f t="shared" si="74"/>
        <v>7795.89</v>
      </c>
      <c r="AJ51" s="37">
        <f t="shared" si="75"/>
        <v>8206.1999999999989</v>
      </c>
      <c r="AK51" s="37">
        <f t="shared" si="76"/>
        <v>10257.75</v>
      </c>
      <c r="AL51" s="37">
        <f t="shared" si="77"/>
        <v>6975.2699999999995</v>
      </c>
      <c r="AM51" s="120">
        <v>1</v>
      </c>
    </row>
    <row r="52" spans="1:39" s="91" customFormat="1" ht="15.6">
      <c r="A52" s="87" t="s">
        <v>92</v>
      </c>
      <c r="B52" s="92" t="s">
        <v>121</v>
      </c>
      <c r="C52" s="88" t="s">
        <v>731</v>
      </c>
      <c r="D52" s="88" t="s">
        <v>833</v>
      </c>
      <c r="E52" s="88" t="s">
        <v>139</v>
      </c>
      <c r="F52" s="83" t="s">
        <v>29</v>
      </c>
      <c r="G52" s="89" t="s">
        <v>49</v>
      </c>
      <c r="H52" s="89" t="s">
        <v>31</v>
      </c>
      <c r="I52" s="108">
        <v>30.5</v>
      </c>
      <c r="J52" s="88" t="s">
        <v>45</v>
      </c>
      <c r="K52" s="38" t="s">
        <v>140</v>
      </c>
      <c r="L52" s="38" t="s">
        <v>34</v>
      </c>
      <c r="M52" s="90" t="s">
        <v>1</v>
      </c>
      <c r="N52" s="84">
        <v>165.87</v>
      </c>
      <c r="O52" s="84">
        <v>165.87</v>
      </c>
      <c r="P52" s="84">
        <v>209.51999999999998</v>
      </c>
      <c r="Q52" s="84">
        <v>174.6</v>
      </c>
      <c r="R52" s="84">
        <v>165.87</v>
      </c>
      <c r="S52" s="84">
        <v>200.79</v>
      </c>
      <c r="T52" s="84">
        <v>174.6</v>
      </c>
      <c r="U52" s="84">
        <v>218.25</v>
      </c>
      <c r="V52" s="84">
        <v>165.87</v>
      </c>
      <c r="W52" s="84">
        <v>157.13999999999999</v>
      </c>
      <c r="X52" s="84">
        <v>218.25</v>
      </c>
      <c r="Y52" s="84">
        <v>165.87</v>
      </c>
      <c r="Z52" s="38"/>
      <c r="AA52" s="37">
        <f t="shared" si="66"/>
        <v>5059.0349999999999</v>
      </c>
      <c r="AB52" s="37">
        <f t="shared" si="67"/>
        <v>5059.0349999999999</v>
      </c>
      <c r="AC52" s="37">
        <f t="shared" si="68"/>
        <v>6390.36</v>
      </c>
      <c r="AD52" s="37">
        <f t="shared" si="69"/>
        <v>5325.3</v>
      </c>
      <c r="AE52" s="37">
        <f t="shared" si="70"/>
        <v>5059.0349999999999</v>
      </c>
      <c r="AF52" s="37">
        <f t="shared" si="71"/>
        <v>6124.0949999999993</v>
      </c>
      <c r="AG52" s="37">
        <f t="shared" si="72"/>
        <v>5325.3</v>
      </c>
      <c r="AH52" s="37">
        <f t="shared" si="73"/>
        <v>6656.625</v>
      </c>
      <c r="AI52" s="37">
        <f t="shared" si="74"/>
        <v>5059.0349999999999</v>
      </c>
      <c r="AJ52" s="37">
        <f t="shared" si="75"/>
        <v>4792.7699999999995</v>
      </c>
      <c r="AK52" s="37">
        <f t="shared" si="76"/>
        <v>6656.625</v>
      </c>
      <c r="AL52" s="37">
        <f t="shared" si="77"/>
        <v>5059.0349999999999</v>
      </c>
      <c r="AM52" s="120">
        <v>1</v>
      </c>
    </row>
    <row r="53" spans="1:39" s="91" customFormat="1" ht="15.6">
      <c r="A53" s="87" t="s">
        <v>92</v>
      </c>
      <c r="B53" s="92" t="s">
        <v>121</v>
      </c>
      <c r="C53" s="96" t="s">
        <v>141</v>
      </c>
      <c r="D53" s="96" t="s">
        <v>834</v>
      </c>
      <c r="E53" s="88" t="s">
        <v>142</v>
      </c>
      <c r="F53" s="83" t="s">
        <v>29</v>
      </c>
      <c r="G53" s="89" t="s">
        <v>49</v>
      </c>
      <c r="H53" s="89" t="s">
        <v>31</v>
      </c>
      <c r="I53" s="108">
        <v>30.5</v>
      </c>
      <c r="J53" s="88" t="s">
        <v>45</v>
      </c>
      <c r="K53" s="38" t="s">
        <v>140</v>
      </c>
      <c r="L53" s="38" t="s">
        <v>34</v>
      </c>
      <c r="M53" s="90" t="s">
        <v>1</v>
      </c>
      <c r="N53" s="84">
        <v>165.87</v>
      </c>
      <c r="O53" s="84">
        <v>165.87</v>
      </c>
      <c r="P53" s="84">
        <v>209.51999999999998</v>
      </c>
      <c r="Q53" s="84">
        <v>174.6</v>
      </c>
      <c r="R53" s="84">
        <v>165.87</v>
      </c>
      <c r="S53" s="84">
        <v>200.79</v>
      </c>
      <c r="T53" s="84">
        <v>174.6</v>
      </c>
      <c r="U53" s="84">
        <v>218.25</v>
      </c>
      <c r="V53" s="84">
        <v>165.87</v>
      </c>
      <c r="W53" s="84">
        <v>157.13999999999999</v>
      </c>
      <c r="X53" s="84">
        <v>218.25</v>
      </c>
      <c r="Y53" s="84">
        <v>165.87</v>
      </c>
      <c r="Z53" s="38"/>
      <c r="AA53" s="37">
        <f t="shared" si="66"/>
        <v>5059.0349999999999</v>
      </c>
      <c r="AB53" s="37">
        <f t="shared" si="67"/>
        <v>5059.0349999999999</v>
      </c>
      <c r="AC53" s="37">
        <f t="shared" si="68"/>
        <v>6390.36</v>
      </c>
      <c r="AD53" s="37">
        <f t="shared" si="69"/>
        <v>5325.3</v>
      </c>
      <c r="AE53" s="37">
        <f t="shared" si="70"/>
        <v>5059.0349999999999</v>
      </c>
      <c r="AF53" s="37">
        <f t="shared" si="71"/>
        <v>6124.0949999999993</v>
      </c>
      <c r="AG53" s="37">
        <f t="shared" si="72"/>
        <v>5325.3</v>
      </c>
      <c r="AH53" s="37">
        <f t="shared" si="73"/>
        <v>6656.625</v>
      </c>
      <c r="AI53" s="37">
        <f t="shared" si="74"/>
        <v>5059.0349999999999</v>
      </c>
      <c r="AJ53" s="37">
        <f t="shared" si="75"/>
        <v>4792.7699999999995</v>
      </c>
      <c r="AK53" s="37">
        <f t="shared" si="76"/>
        <v>6656.625</v>
      </c>
      <c r="AL53" s="37">
        <f t="shared" si="77"/>
        <v>5059.0349999999999</v>
      </c>
      <c r="AM53" s="120">
        <v>1</v>
      </c>
    </row>
    <row r="54" spans="1:39" s="91" customFormat="1" ht="15.6">
      <c r="A54" s="87" t="s">
        <v>92</v>
      </c>
      <c r="B54" s="92" t="s">
        <v>121</v>
      </c>
      <c r="C54" s="96" t="s">
        <v>143</v>
      </c>
      <c r="D54" s="96" t="s">
        <v>835</v>
      </c>
      <c r="E54" s="96" t="s">
        <v>144</v>
      </c>
      <c r="F54" s="83" t="s">
        <v>29</v>
      </c>
      <c r="G54" s="83" t="s">
        <v>41</v>
      </c>
      <c r="H54" s="89" t="s">
        <v>31</v>
      </c>
      <c r="I54" s="108">
        <v>30.5</v>
      </c>
      <c r="J54" s="88" t="s">
        <v>45</v>
      </c>
      <c r="K54" s="38" t="s">
        <v>140</v>
      </c>
      <c r="L54" s="38" t="s">
        <v>34</v>
      </c>
      <c r="M54" s="90" t="s">
        <v>1</v>
      </c>
      <c r="N54" s="84">
        <v>165.87</v>
      </c>
      <c r="O54" s="84">
        <v>165.87</v>
      </c>
      <c r="P54" s="84">
        <v>209.51999999999998</v>
      </c>
      <c r="Q54" s="84">
        <v>174.6</v>
      </c>
      <c r="R54" s="84">
        <v>165.87</v>
      </c>
      <c r="S54" s="84">
        <v>200.79</v>
      </c>
      <c r="T54" s="84">
        <v>174.6</v>
      </c>
      <c r="U54" s="84">
        <v>218.25</v>
      </c>
      <c r="V54" s="84">
        <v>165.87</v>
      </c>
      <c r="W54" s="84">
        <v>157.13999999999999</v>
      </c>
      <c r="X54" s="84">
        <v>218.25</v>
      </c>
      <c r="Y54" s="84">
        <v>165.87</v>
      </c>
      <c r="Z54" s="38"/>
      <c r="AA54" s="37">
        <f t="shared" si="66"/>
        <v>5059.0349999999999</v>
      </c>
      <c r="AB54" s="37">
        <f t="shared" si="67"/>
        <v>5059.0349999999999</v>
      </c>
      <c r="AC54" s="37">
        <f t="shared" si="68"/>
        <v>6390.36</v>
      </c>
      <c r="AD54" s="37">
        <f t="shared" si="69"/>
        <v>5325.3</v>
      </c>
      <c r="AE54" s="37">
        <f t="shared" si="70"/>
        <v>5059.0349999999999</v>
      </c>
      <c r="AF54" s="37">
        <f t="shared" si="71"/>
        <v>6124.0949999999993</v>
      </c>
      <c r="AG54" s="37">
        <f t="shared" si="72"/>
        <v>5325.3</v>
      </c>
      <c r="AH54" s="37">
        <f t="shared" si="73"/>
        <v>6656.625</v>
      </c>
      <c r="AI54" s="37">
        <f t="shared" si="74"/>
        <v>5059.0349999999999</v>
      </c>
      <c r="AJ54" s="37">
        <f t="shared" si="75"/>
        <v>4792.7699999999995</v>
      </c>
      <c r="AK54" s="37">
        <f t="shared" si="76"/>
        <v>6656.625</v>
      </c>
      <c r="AL54" s="37">
        <f t="shared" si="77"/>
        <v>5059.0349999999999</v>
      </c>
      <c r="AM54" s="120">
        <v>1</v>
      </c>
    </row>
    <row r="55" spans="1:39" s="91" customFormat="1" ht="15.6">
      <c r="A55" s="87" t="s">
        <v>92</v>
      </c>
      <c r="B55" s="92" t="s">
        <v>121</v>
      </c>
      <c r="C55" s="88" t="s">
        <v>145</v>
      </c>
      <c r="D55" s="88" t="s">
        <v>836</v>
      </c>
      <c r="E55" s="88" t="s">
        <v>146</v>
      </c>
      <c r="F55" s="83" t="s">
        <v>637</v>
      </c>
      <c r="G55" s="89" t="s">
        <v>73</v>
      </c>
      <c r="H55" s="89">
        <v>7</v>
      </c>
      <c r="I55" s="108">
        <v>88.5</v>
      </c>
      <c r="J55" s="88" t="s">
        <v>45</v>
      </c>
      <c r="K55" s="38" t="s">
        <v>147</v>
      </c>
      <c r="L55" s="38" t="s">
        <v>74</v>
      </c>
      <c r="M55" s="90" t="s">
        <v>2</v>
      </c>
      <c r="N55" s="84">
        <v>171</v>
      </c>
      <c r="O55" s="84">
        <v>171</v>
      </c>
      <c r="P55" s="84">
        <v>216</v>
      </c>
      <c r="Q55" s="84">
        <v>180</v>
      </c>
      <c r="R55" s="84">
        <v>171</v>
      </c>
      <c r="S55" s="84">
        <v>225</v>
      </c>
      <c r="T55" s="84">
        <v>171</v>
      </c>
      <c r="U55" s="84">
        <v>216</v>
      </c>
      <c r="V55" s="84">
        <v>171</v>
      </c>
      <c r="W55" s="84">
        <v>171</v>
      </c>
      <c r="X55" s="84">
        <v>216</v>
      </c>
      <c r="Y55" s="84">
        <v>171</v>
      </c>
      <c r="Z55" s="38"/>
      <c r="AA55" s="37">
        <f t="shared" si="66"/>
        <v>15133.5</v>
      </c>
      <c r="AB55" s="37">
        <f t="shared" si="67"/>
        <v>15133.5</v>
      </c>
      <c r="AC55" s="37">
        <f t="shared" si="68"/>
        <v>19116</v>
      </c>
      <c r="AD55" s="37">
        <f t="shared" si="69"/>
        <v>15930</v>
      </c>
      <c r="AE55" s="37">
        <f t="shared" si="70"/>
        <v>15133.5</v>
      </c>
      <c r="AF55" s="37">
        <f t="shared" si="71"/>
        <v>19912.5</v>
      </c>
      <c r="AG55" s="37">
        <f t="shared" si="72"/>
        <v>15133.5</v>
      </c>
      <c r="AH55" s="37">
        <f t="shared" si="73"/>
        <v>19116</v>
      </c>
      <c r="AI55" s="37">
        <f t="shared" si="74"/>
        <v>15133.5</v>
      </c>
      <c r="AJ55" s="37">
        <f t="shared" si="75"/>
        <v>15133.5</v>
      </c>
      <c r="AK55" s="37">
        <f t="shared" si="76"/>
        <v>19116</v>
      </c>
      <c r="AL55" s="37">
        <f t="shared" si="77"/>
        <v>15133.5</v>
      </c>
      <c r="AM55" s="120">
        <v>1</v>
      </c>
    </row>
    <row r="56" spans="1:39" s="91" customFormat="1" ht="15.6">
      <c r="A56" s="87" t="s">
        <v>92</v>
      </c>
      <c r="B56" s="92" t="s">
        <v>121</v>
      </c>
      <c r="C56" s="88" t="s">
        <v>671</v>
      </c>
      <c r="D56" s="88" t="s">
        <v>837</v>
      </c>
      <c r="E56" s="88" t="s">
        <v>660</v>
      </c>
      <c r="F56" s="89" t="s">
        <v>29</v>
      </c>
      <c r="G56" s="89" t="s">
        <v>30</v>
      </c>
      <c r="H56" s="89" t="s">
        <v>36</v>
      </c>
      <c r="I56" s="108">
        <v>29.5</v>
      </c>
      <c r="J56" s="88" t="s">
        <v>91</v>
      </c>
      <c r="K56" s="38" t="s">
        <v>122</v>
      </c>
      <c r="L56" s="38" t="s">
        <v>34</v>
      </c>
      <c r="M56" s="90" t="s">
        <v>1</v>
      </c>
      <c r="N56" s="84">
        <v>165.87</v>
      </c>
      <c r="O56" s="84">
        <v>165.87</v>
      </c>
      <c r="P56" s="84">
        <v>209.51999999999998</v>
      </c>
      <c r="Q56" s="84">
        <v>165.87</v>
      </c>
      <c r="R56" s="84">
        <v>165.87</v>
      </c>
      <c r="S56" s="84">
        <v>209.51999999999998</v>
      </c>
      <c r="T56" s="84">
        <v>174.6</v>
      </c>
      <c r="U56" s="84">
        <v>218.25</v>
      </c>
      <c r="V56" s="84">
        <v>165.87</v>
      </c>
      <c r="W56" s="84">
        <v>157.13999999999999</v>
      </c>
      <c r="X56" s="84">
        <v>218.25</v>
      </c>
      <c r="Y56" s="84">
        <v>165.87</v>
      </c>
      <c r="Z56" s="38"/>
      <c r="AA56" s="37">
        <f t="shared" si="66"/>
        <v>4893.165</v>
      </c>
      <c r="AB56" s="37">
        <f t="shared" si="67"/>
        <v>4893.165</v>
      </c>
      <c r="AC56" s="37">
        <f t="shared" si="68"/>
        <v>6180.8399999999992</v>
      </c>
      <c r="AD56" s="37">
        <f t="shared" si="69"/>
        <v>4893.165</v>
      </c>
      <c r="AE56" s="37">
        <f t="shared" si="70"/>
        <v>4893.165</v>
      </c>
      <c r="AF56" s="37">
        <f t="shared" si="71"/>
        <v>6180.8399999999992</v>
      </c>
      <c r="AG56" s="37">
        <f t="shared" si="72"/>
        <v>5150.7</v>
      </c>
      <c r="AH56" s="37">
        <f t="shared" si="73"/>
        <v>6438.375</v>
      </c>
      <c r="AI56" s="37">
        <f t="shared" si="74"/>
        <v>4893.165</v>
      </c>
      <c r="AJ56" s="37">
        <f t="shared" si="75"/>
        <v>4635.6299999999992</v>
      </c>
      <c r="AK56" s="37">
        <f t="shared" si="76"/>
        <v>6438.375</v>
      </c>
      <c r="AL56" s="37">
        <f t="shared" si="77"/>
        <v>4893.165</v>
      </c>
      <c r="AM56" s="120">
        <v>1</v>
      </c>
    </row>
    <row r="57" spans="1:39" s="91" customFormat="1" ht="15.6">
      <c r="A57" s="87" t="s">
        <v>92</v>
      </c>
      <c r="B57" s="92" t="s">
        <v>121</v>
      </c>
      <c r="C57" s="88" t="s">
        <v>150</v>
      </c>
      <c r="D57" s="88" t="s">
        <v>838</v>
      </c>
      <c r="E57" s="88" t="s">
        <v>151</v>
      </c>
      <c r="F57" s="89" t="s">
        <v>29</v>
      </c>
      <c r="G57" s="89" t="s">
        <v>100</v>
      </c>
      <c r="H57" s="89" t="s">
        <v>36</v>
      </c>
      <c r="I57" s="108">
        <v>29.5</v>
      </c>
      <c r="J57" s="88" t="s">
        <v>91</v>
      </c>
      <c r="K57" s="38" t="s">
        <v>122</v>
      </c>
      <c r="L57" s="38" t="s">
        <v>34</v>
      </c>
      <c r="M57" s="90" t="s">
        <v>1</v>
      </c>
      <c r="N57" s="84">
        <v>165.87</v>
      </c>
      <c r="O57" s="84">
        <v>165.87</v>
      </c>
      <c r="P57" s="84">
        <v>209.51999999999998</v>
      </c>
      <c r="Q57" s="84">
        <v>174.6</v>
      </c>
      <c r="R57" s="84">
        <v>165.87</v>
      </c>
      <c r="S57" s="84">
        <v>200.79</v>
      </c>
      <c r="T57" s="84">
        <v>174.6</v>
      </c>
      <c r="U57" s="84">
        <v>218.25</v>
      </c>
      <c r="V57" s="84">
        <v>165.87</v>
      </c>
      <c r="W57" s="84">
        <v>157.13999999999999</v>
      </c>
      <c r="X57" s="84">
        <v>218.25</v>
      </c>
      <c r="Y57" s="84">
        <v>165.87</v>
      </c>
      <c r="Z57" s="38"/>
      <c r="AA57" s="37">
        <f t="shared" si="66"/>
        <v>4893.165</v>
      </c>
      <c r="AB57" s="37">
        <f t="shared" si="67"/>
        <v>4893.165</v>
      </c>
      <c r="AC57" s="37">
        <f t="shared" si="68"/>
        <v>6180.8399999999992</v>
      </c>
      <c r="AD57" s="37">
        <f t="shared" si="69"/>
        <v>5150.7</v>
      </c>
      <c r="AE57" s="37">
        <f t="shared" si="70"/>
        <v>4893.165</v>
      </c>
      <c r="AF57" s="37">
        <f t="shared" si="71"/>
        <v>5923.3049999999994</v>
      </c>
      <c r="AG57" s="37">
        <f t="shared" si="72"/>
        <v>5150.7</v>
      </c>
      <c r="AH57" s="37">
        <f t="shared" si="73"/>
        <v>6438.375</v>
      </c>
      <c r="AI57" s="37">
        <f t="shared" si="74"/>
        <v>4893.165</v>
      </c>
      <c r="AJ57" s="37">
        <f t="shared" si="75"/>
        <v>4635.6299999999992</v>
      </c>
      <c r="AK57" s="37">
        <f t="shared" si="76"/>
        <v>6438.375</v>
      </c>
      <c r="AL57" s="37">
        <f t="shared" si="77"/>
        <v>4893.165</v>
      </c>
      <c r="AM57" s="120">
        <v>1</v>
      </c>
    </row>
    <row r="58" spans="1:39" s="91" customFormat="1" ht="15.6">
      <c r="A58" s="87" t="s">
        <v>92</v>
      </c>
      <c r="B58" s="92" t="s">
        <v>121</v>
      </c>
      <c r="C58" s="96" t="s">
        <v>152</v>
      </c>
      <c r="D58" s="96" t="s">
        <v>839</v>
      </c>
      <c r="E58" s="96" t="s">
        <v>153</v>
      </c>
      <c r="F58" s="89" t="s">
        <v>29</v>
      </c>
      <c r="G58" s="89" t="s">
        <v>49</v>
      </c>
      <c r="H58" s="89" t="s">
        <v>31</v>
      </c>
      <c r="I58" s="108">
        <v>30.5</v>
      </c>
      <c r="J58" s="88" t="s">
        <v>91</v>
      </c>
      <c r="K58" s="38" t="s">
        <v>122</v>
      </c>
      <c r="L58" s="38" t="s">
        <v>34</v>
      </c>
      <c r="M58" s="90" t="s">
        <v>1</v>
      </c>
      <c r="N58" s="84">
        <v>165.87</v>
      </c>
      <c r="O58" s="84">
        <v>165.87</v>
      </c>
      <c r="P58" s="84">
        <v>209.51999999999998</v>
      </c>
      <c r="Q58" s="84">
        <v>174.6</v>
      </c>
      <c r="R58" s="84">
        <v>165.87</v>
      </c>
      <c r="S58" s="84">
        <v>200.79</v>
      </c>
      <c r="T58" s="84">
        <v>174.6</v>
      </c>
      <c r="U58" s="84">
        <v>218.25</v>
      </c>
      <c r="V58" s="84">
        <v>165.87</v>
      </c>
      <c r="W58" s="84">
        <v>157.13999999999999</v>
      </c>
      <c r="X58" s="84">
        <v>218.25</v>
      </c>
      <c r="Y58" s="84">
        <v>165.87</v>
      </c>
      <c r="Z58" s="38"/>
      <c r="AA58" s="37">
        <f t="shared" si="66"/>
        <v>5059.0349999999999</v>
      </c>
      <c r="AB58" s="37">
        <f t="shared" si="67"/>
        <v>5059.0349999999999</v>
      </c>
      <c r="AC58" s="37">
        <f t="shared" si="68"/>
        <v>6390.36</v>
      </c>
      <c r="AD58" s="37">
        <f t="shared" si="69"/>
        <v>5325.3</v>
      </c>
      <c r="AE58" s="37">
        <f t="shared" si="70"/>
        <v>5059.0349999999999</v>
      </c>
      <c r="AF58" s="37">
        <f t="shared" si="71"/>
        <v>6124.0949999999993</v>
      </c>
      <c r="AG58" s="37">
        <f t="shared" si="72"/>
        <v>5325.3</v>
      </c>
      <c r="AH58" s="37">
        <f t="shared" si="73"/>
        <v>6656.625</v>
      </c>
      <c r="AI58" s="37">
        <f t="shared" si="74"/>
        <v>5059.0349999999999</v>
      </c>
      <c r="AJ58" s="37">
        <f t="shared" si="75"/>
        <v>4792.7699999999995</v>
      </c>
      <c r="AK58" s="37">
        <f t="shared" si="76"/>
        <v>6656.625</v>
      </c>
      <c r="AL58" s="37">
        <f t="shared" si="77"/>
        <v>5059.0349999999999</v>
      </c>
      <c r="AM58" s="120">
        <v>1</v>
      </c>
    </row>
    <row r="59" spans="1:39" s="91" customFormat="1" ht="15.6">
      <c r="A59" s="87" t="s">
        <v>92</v>
      </c>
      <c r="B59" s="92" t="s">
        <v>121</v>
      </c>
      <c r="C59" s="85" t="s">
        <v>154</v>
      </c>
      <c r="D59" s="85" t="s">
        <v>840</v>
      </c>
      <c r="E59" s="96" t="s">
        <v>155</v>
      </c>
      <c r="F59" s="83" t="s">
        <v>68</v>
      </c>
      <c r="G59" s="89" t="s">
        <v>69</v>
      </c>
      <c r="H59" s="83" t="s">
        <v>36</v>
      </c>
      <c r="I59" s="108">
        <v>34</v>
      </c>
      <c r="J59" s="88" t="s">
        <v>45</v>
      </c>
      <c r="K59" s="38" t="s">
        <v>147</v>
      </c>
      <c r="L59" s="38" t="s">
        <v>34</v>
      </c>
      <c r="M59" s="90" t="s">
        <v>1</v>
      </c>
      <c r="N59" s="36">
        <v>165.87</v>
      </c>
      <c r="O59" s="36">
        <v>165.87</v>
      </c>
      <c r="P59" s="36">
        <v>218.25</v>
      </c>
      <c r="Q59" s="36">
        <v>148.41</v>
      </c>
      <c r="R59" s="36">
        <v>165.87</v>
      </c>
      <c r="S59" s="36">
        <v>209</v>
      </c>
      <c r="T59" s="36">
        <v>174.6</v>
      </c>
      <c r="U59" s="36">
        <v>200.79</v>
      </c>
      <c r="V59" s="36">
        <v>165.87</v>
      </c>
      <c r="W59" s="36">
        <v>174.6</v>
      </c>
      <c r="X59" s="36">
        <v>218.25</v>
      </c>
      <c r="Y59" s="36">
        <v>148.41</v>
      </c>
      <c r="Z59" s="38"/>
      <c r="AA59" s="37">
        <f t="shared" si="66"/>
        <v>5639.58</v>
      </c>
      <c r="AB59" s="37">
        <f t="shared" si="67"/>
        <v>5639.58</v>
      </c>
      <c r="AC59" s="37">
        <f t="shared" si="68"/>
        <v>7420.5</v>
      </c>
      <c r="AD59" s="37">
        <f t="shared" si="69"/>
        <v>5045.9399999999996</v>
      </c>
      <c r="AE59" s="37">
        <f t="shared" si="70"/>
        <v>5639.58</v>
      </c>
      <c r="AF59" s="37">
        <f t="shared" si="71"/>
        <v>7106</v>
      </c>
      <c r="AG59" s="37">
        <f t="shared" si="72"/>
        <v>5936.4</v>
      </c>
      <c r="AH59" s="37">
        <f t="shared" si="73"/>
        <v>6826.86</v>
      </c>
      <c r="AI59" s="37">
        <f t="shared" si="74"/>
        <v>5639.58</v>
      </c>
      <c r="AJ59" s="37">
        <f t="shared" si="75"/>
        <v>5936.4</v>
      </c>
      <c r="AK59" s="37">
        <f t="shared" si="76"/>
        <v>7420.5</v>
      </c>
      <c r="AL59" s="37">
        <f t="shared" si="77"/>
        <v>5045.9399999999996</v>
      </c>
      <c r="AM59" s="120">
        <v>1</v>
      </c>
    </row>
    <row r="60" spans="1:39" s="91" customFormat="1" ht="15.6">
      <c r="A60" s="87" t="s">
        <v>92</v>
      </c>
      <c r="B60" s="92" t="s">
        <v>121</v>
      </c>
      <c r="C60" s="96" t="s">
        <v>194</v>
      </c>
      <c r="D60" s="96" t="s">
        <v>841</v>
      </c>
      <c r="E60" s="38" t="s">
        <v>195</v>
      </c>
      <c r="F60" s="83" t="s">
        <v>72</v>
      </c>
      <c r="G60" s="89" t="s">
        <v>73</v>
      </c>
      <c r="H60" s="89">
        <v>7</v>
      </c>
      <c r="I60" s="108">
        <v>160</v>
      </c>
      <c r="J60" s="88" t="s">
        <v>91</v>
      </c>
      <c r="K60" s="38" t="s">
        <v>127</v>
      </c>
      <c r="L60" s="38" t="s">
        <v>74</v>
      </c>
      <c r="M60" s="90" t="s">
        <v>2</v>
      </c>
      <c r="N60" s="84">
        <v>152</v>
      </c>
      <c r="O60" s="84">
        <v>152</v>
      </c>
      <c r="P60" s="84">
        <v>192</v>
      </c>
      <c r="Q60" s="84">
        <v>80</v>
      </c>
      <c r="R60" s="84">
        <f>152-40</f>
        <v>112</v>
      </c>
      <c r="S60" s="84">
        <v>200</v>
      </c>
      <c r="T60" s="84">
        <v>152</v>
      </c>
      <c r="U60" s="84">
        <v>192</v>
      </c>
      <c r="V60" s="84">
        <v>152</v>
      </c>
      <c r="W60" s="84">
        <v>152</v>
      </c>
      <c r="X60" s="84">
        <v>192</v>
      </c>
      <c r="Y60" s="84">
        <v>152</v>
      </c>
      <c r="Z60" s="38"/>
      <c r="AA60" s="37">
        <f t="shared" si="66"/>
        <v>24320</v>
      </c>
      <c r="AB60" s="37">
        <f t="shared" si="67"/>
        <v>24320</v>
      </c>
      <c r="AC60" s="37">
        <f t="shared" si="68"/>
        <v>30720</v>
      </c>
      <c r="AD60" s="37">
        <f t="shared" si="69"/>
        <v>12800</v>
      </c>
      <c r="AE60" s="37">
        <f t="shared" si="70"/>
        <v>17920</v>
      </c>
      <c r="AF60" s="37">
        <f t="shared" si="71"/>
        <v>32000</v>
      </c>
      <c r="AG60" s="37">
        <f t="shared" si="72"/>
        <v>24320</v>
      </c>
      <c r="AH60" s="37">
        <f t="shared" si="73"/>
        <v>30720</v>
      </c>
      <c r="AI60" s="37">
        <f t="shared" si="74"/>
        <v>24320</v>
      </c>
      <c r="AJ60" s="37">
        <f t="shared" si="75"/>
        <v>24320</v>
      </c>
      <c r="AK60" s="37">
        <f t="shared" si="76"/>
        <v>30720</v>
      </c>
      <c r="AL60" s="37">
        <f t="shared" si="77"/>
        <v>24320</v>
      </c>
      <c r="AM60" s="120">
        <v>1</v>
      </c>
    </row>
    <row r="61" spans="1:39" s="91" customFormat="1" ht="15.6">
      <c r="A61" s="87" t="s">
        <v>92</v>
      </c>
      <c r="B61" s="92" t="s">
        <v>121</v>
      </c>
      <c r="C61" s="88" t="s">
        <v>157</v>
      </c>
      <c r="D61" s="88" t="s">
        <v>842</v>
      </c>
      <c r="E61" s="88" t="s">
        <v>158</v>
      </c>
      <c r="F61" s="83" t="s">
        <v>29</v>
      </c>
      <c r="G61" s="83" t="s">
        <v>41</v>
      </c>
      <c r="H61" s="89" t="s">
        <v>36</v>
      </c>
      <c r="I61" s="108">
        <v>29.5</v>
      </c>
      <c r="J61" s="88" t="s">
        <v>45</v>
      </c>
      <c r="K61" s="38" t="s">
        <v>149</v>
      </c>
      <c r="L61" s="38" t="s">
        <v>34</v>
      </c>
      <c r="M61" s="90" t="s">
        <v>1</v>
      </c>
      <c r="N61" s="84">
        <v>165.87</v>
      </c>
      <c r="O61" s="84">
        <v>165.87</v>
      </c>
      <c r="P61" s="84">
        <v>209.51999999999998</v>
      </c>
      <c r="Q61" s="84">
        <v>174.6</v>
      </c>
      <c r="R61" s="84">
        <v>165.87</v>
      </c>
      <c r="S61" s="84">
        <v>200.79</v>
      </c>
      <c r="T61" s="84">
        <v>174.6</v>
      </c>
      <c r="U61" s="84">
        <v>218.25</v>
      </c>
      <c r="V61" s="84">
        <v>165.87</v>
      </c>
      <c r="W61" s="84">
        <v>157.13999999999999</v>
      </c>
      <c r="X61" s="84">
        <v>218.25</v>
      </c>
      <c r="Y61" s="84">
        <v>165.87</v>
      </c>
      <c r="Z61" s="38"/>
      <c r="AA61" s="37">
        <f t="shared" si="66"/>
        <v>4893.165</v>
      </c>
      <c r="AB61" s="37">
        <f t="shared" si="67"/>
        <v>4893.165</v>
      </c>
      <c r="AC61" s="37">
        <f t="shared" si="68"/>
        <v>6180.8399999999992</v>
      </c>
      <c r="AD61" s="37">
        <f t="shared" si="69"/>
        <v>5150.7</v>
      </c>
      <c r="AE61" s="37">
        <f t="shared" si="70"/>
        <v>4893.165</v>
      </c>
      <c r="AF61" s="37">
        <f t="shared" si="71"/>
        <v>5923.3049999999994</v>
      </c>
      <c r="AG61" s="37">
        <f t="shared" si="72"/>
        <v>5150.7</v>
      </c>
      <c r="AH61" s="37">
        <f t="shared" si="73"/>
        <v>6438.375</v>
      </c>
      <c r="AI61" s="37">
        <f t="shared" si="74"/>
        <v>4893.165</v>
      </c>
      <c r="AJ61" s="37">
        <f t="shared" si="75"/>
        <v>4635.6299999999992</v>
      </c>
      <c r="AK61" s="37">
        <f t="shared" si="76"/>
        <v>6438.375</v>
      </c>
      <c r="AL61" s="37">
        <f t="shared" si="77"/>
        <v>4893.165</v>
      </c>
      <c r="AM61" s="120">
        <v>1</v>
      </c>
    </row>
    <row r="62" spans="1:39" s="91" customFormat="1" ht="15.6">
      <c r="A62" s="87" t="s">
        <v>92</v>
      </c>
      <c r="B62" s="92" t="s">
        <v>121</v>
      </c>
      <c r="C62" s="96" t="s">
        <v>159</v>
      </c>
      <c r="D62" s="96" t="s">
        <v>843</v>
      </c>
      <c r="E62" s="88" t="s">
        <v>160</v>
      </c>
      <c r="F62" s="83" t="s">
        <v>29</v>
      </c>
      <c r="G62" s="89" t="s">
        <v>35</v>
      </c>
      <c r="H62" s="89" t="s">
        <v>31</v>
      </c>
      <c r="I62" s="108">
        <v>30.5</v>
      </c>
      <c r="J62" s="88" t="s">
        <v>91</v>
      </c>
      <c r="K62" s="38" t="s">
        <v>135</v>
      </c>
      <c r="L62" s="38" t="s">
        <v>34</v>
      </c>
      <c r="M62" s="90" t="s">
        <v>1</v>
      </c>
      <c r="N62" s="36">
        <v>174.6</v>
      </c>
      <c r="O62" s="36">
        <v>165.87</v>
      </c>
      <c r="P62" s="36">
        <v>200.79</v>
      </c>
      <c r="Q62" s="36">
        <v>174.6</v>
      </c>
      <c r="R62" s="36">
        <v>142</v>
      </c>
      <c r="S62" s="36">
        <v>194</v>
      </c>
      <c r="T62" s="36">
        <v>174.6</v>
      </c>
      <c r="U62" s="36">
        <v>218.25</v>
      </c>
      <c r="V62" s="36">
        <v>165.87</v>
      </c>
      <c r="W62" s="36">
        <v>157.13999999999999</v>
      </c>
      <c r="X62" s="36">
        <v>209.51999999999998</v>
      </c>
      <c r="Y62" s="36">
        <v>165.87</v>
      </c>
      <c r="Z62" s="38"/>
      <c r="AA62" s="37">
        <f t="shared" si="66"/>
        <v>5325.3</v>
      </c>
      <c r="AB62" s="37">
        <f t="shared" si="67"/>
        <v>5059.0349999999999</v>
      </c>
      <c r="AC62" s="37">
        <f t="shared" si="68"/>
        <v>6124.0949999999993</v>
      </c>
      <c r="AD62" s="37">
        <f t="shared" si="69"/>
        <v>5325.3</v>
      </c>
      <c r="AE62" s="37">
        <f t="shared" si="70"/>
        <v>4331</v>
      </c>
      <c r="AF62" s="37">
        <f t="shared" si="71"/>
        <v>5917</v>
      </c>
      <c r="AG62" s="37">
        <f t="shared" si="72"/>
        <v>5325.3</v>
      </c>
      <c r="AH62" s="37">
        <f t="shared" si="73"/>
        <v>6656.625</v>
      </c>
      <c r="AI62" s="37">
        <f t="shared" si="74"/>
        <v>5059.0349999999999</v>
      </c>
      <c r="AJ62" s="37">
        <f t="shared" si="75"/>
        <v>4792.7699999999995</v>
      </c>
      <c r="AK62" s="37">
        <f t="shared" si="76"/>
        <v>6390.36</v>
      </c>
      <c r="AL62" s="37">
        <f t="shared" si="77"/>
        <v>5059.0349999999999</v>
      </c>
      <c r="AM62" s="120">
        <v>1</v>
      </c>
    </row>
    <row r="63" spans="1:39" s="91" customFormat="1" ht="15.6">
      <c r="A63" s="87" t="s">
        <v>92</v>
      </c>
      <c r="B63" s="92" t="s">
        <v>121</v>
      </c>
      <c r="C63" s="96" t="s">
        <v>161</v>
      </c>
      <c r="D63" s="96" t="s">
        <v>844</v>
      </c>
      <c r="E63" s="96" t="s">
        <v>162</v>
      </c>
      <c r="F63" s="89" t="s">
        <v>29</v>
      </c>
      <c r="G63" s="83" t="s">
        <v>100</v>
      </c>
      <c r="H63" s="89">
        <v>8</v>
      </c>
      <c r="I63" s="108">
        <v>41</v>
      </c>
      <c r="J63" s="88" t="s">
        <v>91</v>
      </c>
      <c r="K63" s="38" t="s">
        <v>127</v>
      </c>
      <c r="L63" s="38" t="s">
        <v>34</v>
      </c>
      <c r="M63" s="90" t="s">
        <v>1</v>
      </c>
      <c r="N63" s="84">
        <v>165.87</v>
      </c>
      <c r="O63" s="84">
        <v>165.87</v>
      </c>
      <c r="P63" s="84">
        <v>209.51999999999998</v>
      </c>
      <c r="Q63" s="84">
        <v>174.6</v>
      </c>
      <c r="R63" s="84">
        <v>165.87</v>
      </c>
      <c r="S63" s="84">
        <v>200.79</v>
      </c>
      <c r="T63" s="84">
        <v>174.6</v>
      </c>
      <c r="U63" s="84">
        <v>218.25</v>
      </c>
      <c r="V63" s="84">
        <v>165.87</v>
      </c>
      <c r="W63" s="84">
        <v>157.13999999999999</v>
      </c>
      <c r="X63" s="84">
        <v>218.25</v>
      </c>
      <c r="Y63" s="84">
        <v>165.87</v>
      </c>
      <c r="Z63" s="38"/>
      <c r="AA63" s="37">
        <f t="shared" si="66"/>
        <v>6800.67</v>
      </c>
      <c r="AB63" s="37">
        <f t="shared" si="67"/>
        <v>6800.67</v>
      </c>
      <c r="AC63" s="37">
        <f t="shared" si="68"/>
        <v>8590.32</v>
      </c>
      <c r="AD63" s="37">
        <f t="shared" si="69"/>
        <v>7158.5999999999995</v>
      </c>
      <c r="AE63" s="37">
        <f t="shared" si="70"/>
        <v>6800.67</v>
      </c>
      <c r="AF63" s="37">
        <f t="shared" si="71"/>
        <v>8232.39</v>
      </c>
      <c r="AG63" s="37">
        <f t="shared" si="72"/>
        <v>7158.5999999999995</v>
      </c>
      <c r="AH63" s="37">
        <f t="shared" si="73"/>
        <v>8948.25</v>
      </c>
      <c r="AI63" s="37">
        <f t="shared" si="74"/>
        <v>6800.67</v>
      </c>
      <c r="AJ63" s="37">
        <f t="shared" si="75"/>
        <v>6442.74</v>
      </c>
      <c r="AK63" s="37">
        <f t="shared" si="76"/>
        <v>8948.25</v>
      </c>
      <c r="AL63" s="37">
        <f t="shared" si="77"/>
        <v>6800.67</v>
      </c>
      <c r="AM63" s="120">
        <v>1</v>
      </c>
    </row>
    <row r="64" spans="1:39" s="91" customFormat="1" ht="15.6">
      <c r="A64" s="87" t="s">
        <v>92</v>
      </c>
      <c r="B64" s="92" t="s">
        <v>121</v>
      </c>
      <c r="C64" s="97" t="s">
        <v>163</v>
      </c>
      <c r="D64" s="97" t="s">
        <v>845</v>
      </c>
      <c r="E64" s="88" t="s">
        <v>164</v>
      </c>
      <c r="F64" s="83" t="s">
        <v>29</v>
      </c>
      <c r="G64" s="89" t="s">
        <v>35</v>
      </c>
      <c r="H64" s="89" t="s">
        <v>36</v>
      </c>
      <c r="I64" s="108">
        <v>24.5</v>
      </c>
      <c r="J64" s="88" t="s">
        <v>91</v>
      </c>
      <c r="K64" s="38" t="s">
        <v>135</v>
      </c>
      <c r="L64" s="38" t="s">
        <v>34</v>
      </c>
      <c r="M64" s="90" t="s">
        <v>1</v>
      </c>
      <c r="N64" s="36">
        <v>174.6</v>
      </c>
      <c r="O64" s="36">
        <v>165.87</v>
      </c>
      <c r="P64" s="36">
        <v>200.79</v>
      </c>
      <c r="Q64" s="36">
        <v>174.6</v>
      </c>
      <c r="R64" s="36">
        <v>165.87</v>
      </c>
      <c r="S64" s="36">
        <v>209.51999999999998</v>
      </c>
      <c r="T64" s="36">
        <v>174.6</v>
      </c>
      <c r="U64" s="36">
        <v>218.25</v>
      </c>
      <c r="V64" s="36">
        <v>165.87</v>
      </c>
      <c r="W64" s="36">
        <v>157.13999999999999</v>
      </c>
      <c r="X64" s="36">
        <v>209.51999999999998</v>
      </c>
      <c r="Y64" s="36">
        <v>165.87</v>
      </c>
      <c r="Z64" s="38"/>
      <c r="AA64" s="37">
        <f t="shared" si="66"/>
        <v>4277.7</v>
      </c>
      <c r="AB64" s="37">
        <f t="shared" si="67"/>
        <v>4063.8150000000001</v>
      </c>
      <c r="AC64" s="37">
        <f t="shared" si="68"/>
        <v>4919.3549999999996</v>
      </c>
      <c r="AD64" s="37">
        <f t="shared" si="69"/>
        <v>4277.7</v>
      </c>
      <c r="AE64" s="37">
        <f t="shared" si="70"/>
        <v>4063.8150000000001</v>
      </c>
      <c r="AF64" s="37">
        <f t="shared" si="71"/>
        <v>5133.24</v>
      </c>
      <c r="AG64" s="37">
        <f t="shared" si="72"/>
        <v>4277.7</v>
      </c>
      <c r="AH64" s="37">
        <f t="shared" si="73"/>
        <v>5347.125</v>
      </c>
      <c r="AI64" s="37">
        <f t="shared" si="74"/>
        <v>4063.8150000000001</v>
      </c>
      <c r="AJ64" s="37">
        <f t="shared" si="75"/>
        <v>3849.93</v>
      </c>
      <c r="AK64" s="37">
        <f t="shared" si="76"/>
        <v>5133.24</v>
      </c>
      <c r="AL64" s="37">
        <f t="shared" si="77"/>
        <v>4063.8150000000001</v>
      </c>
      <c r="AM64" s="120">
        <v>1</v>
      </c>
    </row>
    <row r="65" spans="1:39" s="91" customFormat="1" ht="15.6">
      <c r="A65" s="87" t="s">
        <v>92</v>
      </c>
      <c r="B65" s="92" t="s">
        <v>121</v>
      </c>
      <c r="C65" s="88" t="s">
        <v>165</v>
      </c>
      <c r="D65" s="88" t="s">
        <v>846</v>
      </c>
      <c r="E65" s="88" t="s">
        <v>166</v>
      </c>
      <c r="F65" s="83" t="s">
        <v>29</v>
      </c>
      <c r="G65" s="89" t="s">
        <v>49</v>
      </c>
      <c r="H65" s="89" t="s">
        <v>36</v>
      </c>
      <c r="I65" s="108">
        <v>24.5</v>
      </c>
      <c r="J65" s="88" t="s">
        <v>91</v>
      </c>
      <c r="K65" s="38" t="s">
        <v>135</v>
      </c>
      <c r="L65" s="38" t="s">
        <v>34</v>
      </c>
      <c r="M65" s="90" t="s">
        <v>1</v>
      </c>
      <c r="N65" s="84">
        <v>165.87</v>
      </c>
      <c r="O65" s="84">
        <v>165.87</v>
      </c>
      <c r="P65" s="84">
        <v>209.51999999999998</v>
      </c>
      <c r="Q65" s="84">
        <v>174.6</v>
      </c>
      <c r="R65" s="84">
        <v>165.87</v>
      </c>
      <c r="S65" s="84">
        <v>200.79</v>
      </c>
      <c r="T65" s="84">
        <v>174.6</v>
      </c>
      <c r="U65" s="84">
        <v>218.25</v>
      </c>
      <c r="V65" s="84">
        <v>165.87</v>
      </c>
      <c r="W65" s="84">
        <v>157.13999999999999</v>
      </c>
      <c r="X65" s="84">
        <v>218.25</v>
      </c>
      <c r="Y65" s="84">
        <v>165.87</v>
      </c>
      <c r="Z65" s="38"/>
      <c r="AA65" s="37">
        <f t="shared" si="66"/>
        <v>4063.8150000000001</v>
      </c>
      <c r="AB65" s="37">
        <f t="shared" si="67"/>
        <v>4063.8150000000001</v>
      </c>
      <c r="AC65" s="37">
        <f t="shared" si="68"/>
        <v>5133.24</v>
      </c>
      <c r="AD65" s="37">
        <f t="shared" si="69"/>
        <v>4277.7</v>
      </c>
      <c r="AE65" s="37">
        <f t="shared" si="70"/>
        <v>4063.8150000000001</v>
      </c>
      <c r="AF65" s="37">
        <f t="shared" si="71"/>
        <v>4919.3549999999996</v>
      </c>
      <c r="AG65" s="37">
        <f t="shared" si="72"/>
        <v>4277.7</v>
      </c>
      <c r="AH65" s="37">
        <f t="shared" si="73"/>
        <v>5347.125</v>
      </c>
      <c r="AI65" s="37">
        <f t="shared" si="74"/>
        <v>4063.8150000000001</v>
      </c>
      <c r="AJ65" s="37">
        <f t="shared" si="75"/>
        <v>3849.93</v>
      </c>
      <c r="AK65" s="37">
        <f t="shared" si="76"/>
        <v>5347.125</v>
      </c>
      <c r="AL65" s="37">
        <f t="shared" si="77"/>
        <v>4063.8150000000001</v>
      </c>
      <c r="AM65" s="120">
        <v>1</v>
      </c>
    </row>
    <row r="66" spans="1:39" s="91" customFormat="1" ht="15.6">
      <c r="A66" s="87" t="s">
        <v>92</v>
      </c>
      <c r="B66" s="92" t="s">
        <v>121</v>
      </c>
      <c r="C66" s="38" t="s">
        <v>180</v>
      </c>
      <c r="D66" s="38" t="s">
        <v>847</v>
      </c>
      <c r="E66" s="38" t="s">
        <v>181</v>
      </c>
      <c r="F66" s="83" t="s">
        <v>68</v>
      </c>
      <c r="G66" s="89" t="s">
        <v>69</v>
      </c>
      <c r="H66" s="83" t="s">
        <v>60</v>
      </c>
      <c r="I66" s="108">
        <v>24</v>
      </c>
      <c r="J66" s="88" t="s">
        <v>45</v>
      </c>
      <c r="K66" s="38" t="s">
        <v>147</v>
      </c>
      <c r="L66" s="38" t="s">
        <v>34</v>
      </c>
      <c r="M66" s="90" t="s">
        <v>1</v>
      </c>
      <c r="N66" s="36">
        <v>165.87</v>
      </c>
      <c r="O66" s="36">
        <v>165.87</v>
      </c>
      <c r="P66" s="36">
        <v>218.25</v>
      </c>
      <c r="Q66" s="36">
        <v>148.41</v>
      </c>
      <c r="R66" s="36">
        <v>165.87</v>
      </c>
      <c r="S66" s="36">
        <v>209</v>
      </c>
      <c r="T66" s="36">
        <v>174.6</v>
      </c>
      <c r="U66" s="36">
        <v>200.79</v>
      </c>
      <c r="V66" s="36">
        <v>165.87</v>
      </c>
      <c r="W66" s="36">
        <v>174.6</v>
      </c>
      <c r="X66" s="36">
        <v>218.25</v>
      </c>
      <c r="Y66" s="36">
        <v>148.41</v>
      </c>
      <c r="Z66" s="38"/>
      <c r="AA66" s="37">
        <f t="shared" si="66"/>
        <v>3980.88</v>
      </c>
      <c r="AB66" s="37">
        <f t="shared" si="67"/>
        <v>3980.88</v>
      </c>
      <c r="AC66" s="37">
        <f t="shared" si="68"/>
        <v>5238</v>
      </c>
      <c r="AD66" s="37">
        <f t="shared" si="69"/>
        <v>3561.84</v>
      </c>
      <c r="AE66" s="37">
        <f t="shared" si="70"/>
        <v>3980.88</v>
      </c>
      <c r="AF66" s="37">
        <f t="shared" si="71"/>
        <v>5016</v>
      </c>
      <c r="AG66" s="37">
        <f t="shared" si="72"/>
        <v>4190.3999999999996</v>
      </c>
      <c r="AH66" s="37">
        <f t="shared" si="73"/>
        <v>4818.96</v>
      </c>
      <c r="AI66" s="37">
        <f t="shared" si="74"/>
        <v>3980.88</v>
      </c>
      <c r="AJ66" s="37">
        <f t="shared" si="75"/>
        <v>4190.3999999999996</v>
      </c>
      <c r="AK66" s="37">
        <f t="shared" si="76"/>
        <v>5238</v>
      </c>
      <c r="AL66" s="37">
        <f t="shared" si="77"/>
        <v>3561.84</v>
      </c>
      <c r="AM66" s="120">
        <v>1</v>
      </c>
    </row>
    <row r="67" spans="1:39" s="91" customFormat="1" ht="15.6">
      <c r="A67" s="87" t="s">
        <v>92</v>
      </c>
      <c r="B67" s="92" t="s">
        <v>121</v>
      </c>
      <c r="C67" s="96" t="s">
        <v>182</v>
      </c>
      <c r="D67" s="96" t="s">
        <v>848</v>
      </c>
      <c r="E67" s="38" t="s">
        <v>183</v>
      </c>
      <c r="F67" s="83" t="s">
        <v>29</v>
      </c>
      <c r="G67" s="89" t="s">
        <v>49</v>
      </c>
      <c r="H67" s="89" t="s">
        <v>31</v>
      </c>
      <c r="I67" s="108">
        <v>30.5</v>
      </c>
      <c r="J67" s="88" t="s">
        <v>45</v>
      </c>
      <c r="K67" s="38" t="s">
        <v>149</v>
      </c>
      <c r="L67" s="38" t="s">
        <v>34</v>
      </c>
      <c r="M67" s="90" t="s">
        <v>1</v>
      </c>
      <c r="N67" s="84">
        <v>165.87</v>
      </c>
      <c r="O67" s="84">
        <v>165.87</v>
      </c>
      <c r="P67" s="84">
        <v>209.51999999999998</v>
      </c>
      <c r="Q67" s="84">
        <v>174.6</v>
      </c>
      <c r="R67" s="84">
        <v>165.87</v>
      </c>
      <c r="S67" s="84">
        <v>200.79</v>
      </c>
      <c r="T67" s="84">
        <v>174.6</v>
      </c>
      <c r="U67" s="84">
        <v>218.25</v>
      </c>
      <c r="V67" s="84">
        <v>165.87</v>
      </c>
      <c r="W67" s="84">
        <v>157.13999999999999</v>
      </c>
      <c r="X67" s="84">
        <v>218.25</v>
      </c>
      <c r="Y67" s="84">
        <v>165.87</v>
      </c>
      <c r="Z67" s="38"/>
      <c r="AA67" s="37">
        <f t="shared" si="66"/>
        <v>5059.0349999999999</v>
      </c>
      <c r="AB67" s="37">
        <f t="shared" si="67"/>
        <v>5059.0349999999999</v>
      </c>
      <c r="AC67" s="37">
        <f t="shared" si="68"/>
        <v>6390.36</v>
      </c>
      <c r="AD67" s="37">
        <f t="shared" si="69"/>
        <v>5325.3</v>
      </c>
      <c r="AE67" s="37">
        <f t="shared" si="70"/>
        <v>5059.0349999999999</v>
      </c>
      <c r="AF67" s="37">
        <f t="shared" si="71"/>
        <v>6124.0949999999993</v>
      </c>
      <c r="AG67" s="37">
        <f t="shared" si="72"/>
        <v>5325.3</v>
      </c>
      <c r="AH67" s="37">
        <f t="shared" si="73"/>
        <v>6656.625</v>
      </c>
      <c r="AI67" s="37">
        <f t="shared" si="74"/>
        <v>5059.0349999999999</v>
      </c>
      <c r="AJ67" s="37">
        <f t="shared" si="75"/>
        <v>4792.7699999999995</v>
      </c>
      <c r="AK67" s="37">
        <f t="shared" si="76"/>
        <v>6656.625</v>
      </c>
      <c r="AL67" s="37">
        <f t="shared" si="77"/>
        <v>5059.0349999999999</v>
      </c>
      <c r="AM67" s="120">
        <v>1</v>
      </c>
    </row>
    <row r="68" spans="1:39" s="91" customFormat="1" ht="15.6">
      <c r="A68" s="87" t="s">
        <v>92</v>
      </c>
      <c r="B68" s="92" t="s">
        <v>121</v>
      </c>
      <c r="C68" s="96" t="s">
        <v>1204</v>
      </c>
      <c r="D68" s="96" t="s">
        <v>1203</v>
      </c>
      <c r="E68" s="38" t="s">
        <v>1079</v>
      </c>
      <c r="F68" s="83" t="s">
        <v>29</v>
      </c>
      <c r="G68" s="89" t="s">
        <v>100</v>
      </c>
      <c r="H68" s="89" t="s">
        <v>31</v>
      </c>
      <c r="I68" s="108">
        <v>30.5</v>
      </c>
      <c r="J68" s="88" t="s">
        <v>45</v>
      </c>
      <c r="K68" s="38" t="s">
        <v>149</v>
      </c>
      <c r="L68" s="38" t="s">
        <v>34</v>
      </c>
      <c r="M68" s="90" t="s">
        <v>1</v>
      </c>
      <c r="N68" s="84"/>
      <c r="O68" s="84"/>
      <c r="P68" s="84">
        <v>209.51999999999998</v>
      </c>
      <c r="Q68" s="84">
        <v>174.6</v>
      </c>
      <c r="R68" s="84">
        <v>165.87</v>
      </c>
      <c r="S68" s="84">
        <v>200.79</v>
      </c>
      <c r="T68" s="84">
        <v>174.6</v>
      </c>
      <c r="U68" s="84">
        <v>218.25</v>
      </c>
      <c r="V68" s="84">
        <v>165.87</v>
      </c>
      <c r="W68" s="84">
        <v>157.13999999999999</v>
      </c>
      <c r="X68" s="84">
        <v>218.25</v>
      </c>
      <c r="Y68" s="84">
        <v>165.87</v>
      </c>
      <c r="Z68" s="38"/>
      <c r="AA68" s="37">
        <f t="shared" si="66"/>
        <v>0</v>
      </c>
      <c r="AB68" s="37">
        <f t="shared" si="67"/>
        <v>0</v>
      </c>
      <c r="AC68" s="37">
        <f t="shared" si="68"/>
        <v>6390.36</v>
      </c>
      <c r="AD68" s="37">
        <f t="shared" si="69"/>
        <v>5325.3</v>
      </c>
      <c r="AE68" s="37">
        <f t="shared" si="70"/>
        <v>5059.0349999999999</v>
      </c>
      <c r="AF68" s="37">
        <f t="shared" si="71"/>
        <v>6124.0949999999993</v>
      </c>
      <c r="AG68" s="37">
        <f t="shared" si="72"/>
        <v>5325.3</v>
      </c>
      <c r="AH68" s="37">
        <f t="shared" si="73"/>
        <v>6656.625</v>
      </c>
      <c r="AI68" s="37">
        <f t="shared" si="74"/>
        <v>5059.0349999999999</v>
      </c>
      <c r="AJ68" s="37">
        <f t="shared" si="75"/>
        <v>4792.7699999999995</v>
      </c>
      <c r="AK68" s="37">
        <f t="shared" si="76"/>
        <v>6656.625</v>
      </c>
      <c r="AL68" s="37">
        <f t="shared" si="77"/>
        <v>5059.0349999999999</v>
      </c>
      <c r="AM68" s="120">
        <v>1</v>
      </c>
    </row>
    <row r="69" spans="1:39" s="91" customFormat="1" ht="15.6">
      <c r="A69" s="87" t="s">
        <v>92</v>
      </c>
      <c r="B69" s="92" t="s">
        <v>121</v>
      </c>
      <c r="C69" s="96" t="s">
        <v>475</v>
      </c>
      <c r="D69" s="96" t="s">
        <v>849</v>
      </c>
      <c r="E69" s="38" t="s">
        <v>474</v>
      </c>
      <c r="F69" s="83" t="s">
        <v>29</v>
      </c>
      <c r="G69" s="89" t="s">
        <v>30</v>
      </c>
      <c r="H69" s="89" t="s">
        <v>31</v>
      </c>
      <c r="I69" s="108">
        <v>30.5</v>
      </c>
      <c r="J69" s="88" t="s">
        <v>45</v>
      </c>
      <c r="K69" s="38" t="s">
        <v>149</v>
      </c>
      <c r="L69" s="38" t="s">
        <v>34</v>
      </c>
      <c r="M69" s="90" t="s">
        <v>1</v>
      </c>
      <c r="N69" s="84">
        <v>165.87</v>
      </c>
      <c r="O69" s="84">
        <v>165.87</v>
      </c>
      <c r="P69" s="84">
        <v>209.51999999999998</v>
      </c>
      <c r="Q69" s="84">
        <v>165.87</v>
      </c>
      <c r="R69" s="84">
        <v>165.87</v>
      </c>
      <c r="S69" s="84">
        <v>209.51999999999998</v>
      </c>
      <c r="T69" s="84">
        <v>174.6</v>
      </c>
      <c r="U69" s="84">
        <v>218.25</v>
      </c>
      <c r="V69" s="84">
        <v>165.87</v>
      </c>
      <c r="W69" s="84">
        <v>157.13999999999999</v>
      </c>
      <c r="X69" s="84">
        <v>218.25</v>
      </c>
      <c r="Y69" s="84">
        <v>165.87</v>
      </c>
      <c r="Z69" s="38"/>
      <c r="AA69" s="37">
        <f t="shared" si="66"/>
        <v>5059.0349999999999</v>
      </c>
      <c r="AB69" s="37">
        <f t="shared" si="67"/>
        <v>5059.0349999999999</v>
      </c>
      <c r="AC69" s="37">
        <f t="shared" si="68"/>
        <v>6390.36</v>
      </c>
      <c r="AD69" s="37">
        <f t="shared" si="69"/>
        <v>5059.0349999999999</v>
      </c>
      <c r="AE69" s="37">
        <f t="shared" si="70"/>
        <v>5059.0349999999999</v>
      </c>
      <c r="AF69" s="37">
        <f t="shared" si="71"/>
        <v>6390.36</v>
      </c>
      <c r="AG69" s="37">
        <f t="shared" si="72"/>
        <v>5325.3</v>
      </c>
      <c r="AH69" s="37">
        <f t="shared" si="73"/>
        <v>6656.625</v>
      </c>
      <c r="AI69" s="37">
        <f t="shared" si="74"/>
        <v>5059.0349999999999</v>
      </c>
      <c r="AJ69" s="37">
        <f t="shared" si="75"/>
        <v>4792.7699999999995</v>
      </c>
      <c r="AK69" s="37">
        <f t="shared" si="76"/>
        <v>6656.625</v>
      </c>
      <c r="AL69" s="37">
        <f t="shared" si="77"/>
        <v>5059.0349999999999</v>
      </c>
      <c r="AM69" s="120">
        <v>1</v>
      </c>
    </row>
    <row r="70" spans="1:39" s="91" customFormat="1" ht="15.6">
      <c r="A70" s="87" t="s">
        <v>92</v>
      </c>
      <c r="B70" s="92" t="s">
        <v>121</v>
      </c>
      <c r="C70" s="96" t="s">
        <v>184</v>
      </c>
      <c r="D70" s="96" t="s">
        <v>850</v>
      </c>
      <c r="E70" s="38" t="s">
        <v>185</v>
      </c>
      <c r="F70" s="83" t="s">
        <v>29</v>
      </c>
      <c r="G70" s="89" t="s">
        <v>39</v>
      </c>
      <c r="H70" s="89" t="s">
        <v>31</v>
      </c>
      <c r="I70" s="108">
        <v>30.5</v>
      </c>
      <c r="J70" s="88" t="s">
        <v>91</v>
      </c>
      <c r="K70" s="38" t="s">
        <v>122</v>
      </c>
      <c r="L70" s="38" t="s">
        <v>34</v>
      </c>
      <c r="M70" s="90" t="s">
        <v>1</v>
      </c>
      <c r="N70" s="84">
        <v>165.87</v>
      </c>
      <c r="O70" s="84">
        <v>165.87</v>
      </c>
      <c r="P70" s="84">
        <v>209.51999999999998</v>
      </c>
      <c r="Q70" s="84">
        <v>174.6</v>
      </c>
      <c r="R70" s="84">
        <v>165.87</v>
      </c>
      <c r="S70" s="84">
        <v>200.79</v>
      </c>
      <c r="T70" s="84">
        <v>174.6</v>
      </c>
      <c r="U70" s="84">
        <v>218.25</v>
      </c>
      <c r="V70" s="84">
        <v>165.87</v>
      </c>
      <c r="W70" s="84">
        <v>157.13999999999999</v>
      </c>
      <c r="X70" s="84">
        <v>218.25</v>
      </c>
      <c r="Y70" s="84">
        <v>165.87</v>
      </c>
      <c r="Z70" s="38"/>
      <c r="AA70" s="37">
        <f t="shared" si="66"/>
        <v>5059.0349999999999</v>
      </c>
      <c r="AB70" s="37">
        <f t="shared" si="67"/>
        <v>5059.0349999999999</v>
      </c>
      <c r="AC70" s="37">
        <f t="shared" si="68"/>
        <v>6390.36</v>
      </c>
      <c r="AD70" s="37">
        <f t="shared" si="69"/>
        <v>5325.3</v>
      </c>
      <c r="AE70" s="37">
        <f t="shared" si="70"/>
        <v>5059.0349999999999</v>
      </c>
      <c r="AF70" s="37">
        <f t="shared" si="71"/>
        <v>6124.0949999999993</v>
      </c>
      <c r="AG70" s="37">
        <f t="shared" si="72"/>
        <v>5325.3</v>
      </c>
      <c r="AH70" s="37">
        <f t="shared" si="73"/>
        <v>6656.625</v>
      </c>
      <c r="AI70" s="37">
        <f t="shared" si="74"/>
        <v>5059.0349999999999</v>
      </c>
      <c r="AJ70" s="37">
        <f t="shared" si="75"/>
        <v>4792.7699999999995</v>
      </c>
      <c r="AK70" s="37">
        <f t="shared" si="76"/>
        <v>6656.625</v>
      </c>
      <c r="AL70" s="37">
        <f t="shared" si="77"/>
        <v>5059.0349999999999</v>
      </c>
      <c r="AM70" s="120">
        <v>1</v>
      </c>
    </row>
    <row r="71" spans="1:39" s="91" customFormat="1" ht="15.6">
      <c r="A71" s="87" t="s">
        <v>92</v>
      </c>
      <c r="B71" s="92" t="s">
        <v>121</v>
      </c>
      <c r="C71" s="88" t="s">
        <v>186</v>
      </c>
      <c r="D71" s="88" t="s">
        <v>851</v>
      </c>
      <c r="E71" s="38" t="s">
        <v>187</v>
      </c>
      <c r="F71" s="83" t="s">
        <v>29</v>
      </c>
      <c r="G71" s="89" t="s">
        <v>35</v>
      </c>
      <c r="H71" s="89">
        <v>8</v>
      </c>
      <c r="I71" s="108">
        <v>41</v>
      </c>
      <c r="J71" s="88" t="s">
        <v>45</v>
      </c>
      <c r="K71" s="38" t="s">
        <v>140</v>
      </c>
      <c r="L71" s="38" t="s">
        <v>34</v>
      </c>
      <c r="M71" s="90" t="s">
        <v>1</v>
      </c>
      <c r="N71" s="36">
        <v>174.6</v>
      </c>
      <c r="O71" s="36">
        <v>165.87</v>
      </c>
      <c r="P71" s="36">
        <v>200.79</v>
      </c>
      <c r="Q71" s="36">
        <v>174.6</v>
      </c>
      <c r="R71" s="36">
        <v>165.87</v>
      </c>
      <c r="S71" s="36">
        <v>209.51999999999998</v>
      </c>
      <c r="T71" s="36">
        <v>174.6</v>
      </c>
      <c r="U71" s="36">
        <v>218.25</v>
      </c>
      <c r="V71" s="36">
        <v>165.87</v>
      </c>
      <c r="W71" s="36">
        <v>157.13999999999999</v>
      </c>
      <c r="X71" s="36">
        <v>209.51999999999998</v>
      </c>
      <c r="Y71" s="36">
        <v>165.87</v>
      </c>
      <c r="Z71" s="38"/>
      <c r="AA71" s="37">
        <f t="shared" si="66"/>
        <v>7158.5999999999995</v>
      </c>
      <c r="AB71" s="37">
        <f t="shared" si="67"/>
        <v>6800.67</v>
      </c>
      <c r="AC71" s="37">
        <f t="shared" si="68"/>
        <v>8232.39</v>
      </c>
      <c r="AD71" s="37">
        <f t="shared" si="69"/>
        <v>7158.5999999999995</v>
      </c>
      <c r="AE71" s="37">
        <f t="shared" si="70"/>
        <v>6800.67</v>
      </c>
      <c r="AF71" s="37">
        <f t="shared" si="71"/>
        <v>8590.32</v>
      </c>
      <c r="AG71" s="37">
        <f t="shared" si="72"/>
        <v>7158.5999999999995</v>
      </c>
      <c r="AH71" s="37">
        <f t="shared" si="73"/>
        <v>8948.25</v>
      </c>
      <c r="AI71" s="37">
        <f t="shared" si="74"/>
        <v>6800.67</v>
      </c>
      <c r="AJ71" s="37">
        <f t="shared" si="75"/>
        <v>6442.74</v>
      </c>
      <c r="AK71" s="37">
        <f t="shared" si="76"/>
        <v>8590.32</v>
      </c>
      <c r="AL71" s="37">
        <f t="shared" si="77"/>
        <v>6800.67</v>
      </c>
      <c r="AM71" s="120">
        <v>1</v>
      </c>
    </row>
    <row r="72" spans="1:39" s="91" customFormat="1" ht="15.6">
      <c r="A72" s="87" t="s">
        <v>92</v>
      </c>
      <c r="B72" s="92" t="s">
        <v>121</v>
      </c>
      <c r="C72" s="88" t="s">
        <v>188</v>
      </c>
      <c r="D72" s="88" t="s">
        <v>852</v>
      </c>
      <c r="E72" s="38" t="s">
        <v>189</v>
      </c>
      <c r="F72" s="83" t="s">
        <v>29</v>
      </c>
      <c r="G72" s="89" t="s">
        <v>100</v>
      </c>
      <c r="H72" s="89" t="s">
        <v>31</v>
      </c>
      <c r="I72" s="108">
        <v>30.5</v>
      </c>
      <c r="J72" s="88" t="s">
        <v>45</v>
      </c>
      <c r="K72" s="38" t="s">
        <v>140</v>
      </c>
      <c r="L72" s="38" t="s">
        <v>34</v>
      </c>
      <c r="M72" s="90" t="s">
        <v>1</v>
      </c>
      <c r="N72" s="84">
        <v>165.87</v>
      </c>
      <c r="O72" s="84">
        <v>165.87</v>
      </c>
      <c r="P72" s="84">
        <v>209.51999999999998</v>
      </c>
      <c r="Q72" s="84">
        <v>174.6</v>
      </c>
      <c r="R72" s="84">
        <v>165.87</v>
      </c>
      <c r="S72" s="84">
        <v>200.79</v>
      </c>
      <c r="T72" s="84">
        <v>174.6</v>
      </c>
      <c r="U72" s="84">
        <v>218.25</v>
      </c>
      <c r="V72" s="84">
        <v>165.87</v>
      </c>
      <c r="W72" s="84">
        <v>157.13999999999999</v>
      </c>
      <c r="X72" s="84">
        <v>218.25</v>
      </c>
      <c r="Y72" s="84">
        <v>165.87</v>
      </c>
      <c r="Z72" s="38"/>
      <c r="AA72" s="37">
        <f t="shared" si="66"/>
        <v>5059.0349999999999</v>
      </c>
      <c r="AB72" s="37">
        <f t="shared" si="67"/>
        <v>5059.0349999999999</v>
      </c>
      <c r="AC72" s="37">
        <f t="shared" si="68"/>
        <v>6390.36</v>
      </c>
      <c r="AD72" s="37">
        <f t="shared" si="69"/>
        <v>5325.3</v>
      </c>
      <c r="AE72" s="37">
        <f t="shared" si="70"/>
        <v>5059.0349999999999</v>
      </c>
      <c r="AF72" s="37">
        <f t="shared" si="71"/>
        <v>6124.0949999999993</v>
      </c>
      <c r="AG72" s="37">
        <f t="shared" si="72"/>
        <v>5325.3</v>
      </c>
      <c r="AH72" s="37">
        <f t="shared" si="73"/>
        <v>6656.625</v>
      </c>
      <c r="AI72" s="37">
        <f t="shared" si="74"/>
        <v>5059.0349999999999</v>
      </c>
      <c r="AJ72" s="37">
        <f t="shared" si="75"/>
        <v>4792.7699999999995</v>
      </c>
      <c r="AK72" s="37">
        <f t="shared" si="76"/>
        <v>6656.625</v>
      </c>
      <c r="AL72" s="37">
        <f t="shared" si="77"/>
        <v>5059.0349999999999</v>
      </c>
      <c r="AM72" s="120">
        <v>1</v>
      </c>
    </row>
    <row r="73" spans="1:39" s="91" customFormat="1" ht="15.6">
      <c r="A73" s="87" t="s">
        <v>92</v>
      </c>
      <c r="B73" s="92" t="s">
        <v>121</v>
      </c>
      <c r="C73" s="88" t="s">
        <v>190</v>
      </c>
      <c r="D73" s="88" t="s">
        <v>853</v>
      </c>
      <c r="E73" s="38" t="s">
        <v>686</v>
      </c>
      <c r="F73" s="83" t="s">
        <v>29</v>
      </c>
      <c r="G73" s="89" t="s">
        <v>191</v>
      </c>
      <c r="H73" s="89" t="s">
        <v>60</v>
      </c>
      <c r="I73" s="108">
        <v>19</v>
      </c>
      <c r="J73" s="88" t="s">
        <v>45</v>
      </c>
      <c r="K73" s="38" t="s">
        <v>140</v>
      </c>
      <c r="L73" s="38" t="s">
        <v>34</v>
      </c>
      <c r="M73" s="90" t="s">
        <v>1</v>
      </c>
      <c r="N73" s="84">
        <v>165.87</v>
      </c>
      <c r="O73" s="84">
        <v>165.87</v>
      </c>
      <c r="P73" s="84">
        <v>209.51999999999998</v>
      </c>
      <c r="Q73" s="84">
        <v>174.6</v>
      </c>
      <c r="R73" s="84">
        <v>165.87</v>
      </c>
      <c r="S73" s="84">
        <v>200.79</v>
      </c>
      <c r="T73" s="84">
        <v>174.6</v>
      </c>
      <c r="U73" s="84">
        <v>218.25</v>
      </c>
      <c r="V73" s="84">
        <v>165.87</v>
      </c>
      <c r="W73" s="84">
        <v>157.13999999999999</v>
      </c>
      <c r="X73" s="84">
        <v>218.25</v>
      </c>
      <c r="Y73" s="84">
        <v>165.87</v>
      </c>
      <c r="Z73" s="38"/>
      <c r="AA73" s="37">
        <f t="shared" si="66"/>
        <v>3151.53</v>
      </c>
      <c r="AB73" s="37">
        <f t="shared" si="67"/>
        <v>3151.53</v>
      </c>
      <c r="AC73" s="37">
        <f t="shared" si="68"/>
        <v>3980.8799999999997</v>
      </c>
      <c r="AD73" s="37">
        <f t="shared" si="69"/>
        <v>3317.4</v>
      </c>
      <c r="AE73" s="37">
        <f t="shared" si="70"/>
        <v>3151.53</v>
      </c>
      <c r="AF73" s="37">
        <f t="shared" si="71"/>
        <v>3815.0099999999998</v>
      </c>
      <c r="AG73" s="37">
        <f t="shared" si="72"/>
        <v>3317.4</v>
      </c>
      <c r="AH73" s="37">
        <f t="shared" si="73"/>
        <v>4146.75</v>
      </c>
      <c r="AI73" s="37">
        <f t="shared" si="74"/>
        <v>3151.53</v>
      </c>
      <c r="AJ73" s="37">
        <f t="shared" si="75"/>
        <v>2985.66</v>
      </c>
      <c r="AK73" s="37">
        <f t="shared" si="76"/>
        <v>4146.75</v>
      </c>
      <c r="AL73" s="37">
        <f t="shared" si="77"/>
        <v>3151.53</v>
      </c>
      <c r="AM73" s="120">
        <v>1</v>
      </c>
    </row>
    <row r="74" spans="1:39" s="91" customFormat="1" ht="15.6">
      <c r="A74" s="87" t="s">
        <v>92</v>
      </c>
      <c r="B74" s="92" t="s">
        <v>121</v>
      </c>
      <c r="C74" s="96" t="s">
        <v>192</v>
      </c>
      <c r="D74" s="96" t="s">
        <v>854</v>
      </c>
      <c r="E74" s="38" t="s">
        <v>193</v>
      </c>
      <c r="F74" s="83" t="s">
        <v>29</v>
      </c>
      <c r="G74" s="89" t="s">
        <v>191</v>
      </c>
      <c r="H74" s="89" t="s">
        <v>31</v>
      </c>
      <c r="I74" s="108">
        <v>30.5</v>
      </c>
      <c r="J74" s="88" t="s">
        <v>45</v>
      </c>
      <c r="K74" s="38" t="s">
        <v>140</v>
      </c>
      <c r="L74" s="38" t="s">
        <v>34</v>
      </c>
      <c r="M74" s="90" t="s">
        <v>1</v>
      </c>
      <c r="N74" s="84">
        <v>165.87</v>
      </c>
      <c r="O74" s="84">
        <v>165.87</v>
      </c>
      <c r="P74" s="84">
        <v>209.51999999999998</v>
      </c>
      <c r="Q74" s="84">
        <v>174.6</v>
      </c>
      <c r="R74" s="84">
        <v>165.87</v>
      </c>
      <c r="S74" s="84">
        <v>200.79</v>
      </c>
      <c r="T74" s="84">
        <v>174.6</v>
      </c>
      <c r="U74" s="84">
        <v>218.25</v>
      </c>
      <c r="V74" s="84">
        <v>165.87</v>
      </c>
      <c r="W74" s="84">
        <v>157.13999999999999</v>
      </c>
      <c r="X74" s="84">
        <v>218.25</v>
      </c>
      <c r="Y74" s="84">
        <v>165.87</v>
      </c>
      <c r="Z74" s="38"/>
      <c r="AA74" s="37">
        <f t="shared" si="66"/>
        <v>5059.0349999999999</v>
      </c>
      <c r="AB74" s="37">
        <f t="shared" si="67"/>
        <v>5059.0349999999999</v>
      </c>
      <c r="AC74" s="37">
        <f t="shared" si="68"/>
        <v>6390.36</v>
      </c>
      <c r="AD74" s="37">
        <f t="shared" si="69"/>
        <v>5325.3</v>
      </c>
      <c r="AE74" s="37">
        <f t="shared" si="70"/>
        <v>5059.0349999999999</v>
      </c>
      <c r="AF74" s="37">
        <f t="shared" si="71"/>
        <v>6124.0949999999993</v>
      </c>
      <c r="AG74" s="37">
        <f t="shared" si="72"/>
        <v>5325.3</v>
      </c>
      <c r="AH74" s="37">
        <f t="shared" si="73"/>
        <v>6656.625</v>
      </c>
      <c r="AI74" s="37">
        <f t="shared" si="74"/>
        <v>5059.0349999999999</v>
      </c>
      <c r="AJ74" s="37">
        <f t="shared" si="75"/>
        <v>4792.7699999999995</v>
      </c>
      <c r="AK74" s="37">
        <f t="shared" si="76"/>
        <v>6656.625</v>
      </c>
      <c r="AL74" s="37">
        <f t="shared" si="77"/>
        <v>5059.0349999999999</v>
      </c>
      <c r="AM74" s="120">
        <v>1</v>
      </c>
    </row>
    <row r="75" spans="1:39" s="91" customFormat="1" ht="15.6">
      <c r="A75" s="87" t="s">
        <v>92</v>
      </c>
      <c r="B75" s="92" t="s">
        <v>121</v>
      </c>
      <c r="C75" s="88" t="s">
        <v>1188</v>
      </c>
      <c r="D75" s="88" t="s">
        <v>1187</v>
      </c>
      <c r="E75" s="38" t="s">
        <v>1182</v>
      </c>
      <c r="F75" s="83" t="s">
        <v>29</v>
      </c>
      <c r="G75" s="89" t="s">
        <v>49</v>
      </c>
      <c r="H75" s="89" t="s">
        <v>36</v>
      </c>
      <c r="I75" s="108">
        <v>29.5</v>
      </c>
      <c r="J75" s="88" t="s">
        <v>91</v>
      </c>
      <c r="K75" s="38" t="s">
        <v>127</v>
      </c>
      <c r="L75" s="38" t="s">
        <v>34</v>
      </c>
      <c r="M75" s="90" t="s">
        <v>1</v>
      </c>
      <c r="N75" s="84"/>
      <c r="O75" s="84"/>
      <c r="P75" s="84"/>
      <c r="Q75" s="84"/>
      <c r="R75" s="84"/>
      <c r="S75" s="84">
        <v>200.79</v>
      </c>
      <c r="T75" s="84">
        <v>174.6</v>
      </c>
      <c r="U75" s="84"/>
      <c r="V75" s="84"/>
      <c r="W75" s="84"/>
      <c r="X75" s="84"/>
      <c r="Y75" s="84"/>
      <c r="Z75" s="38" t="s">
        <v>1180</v>
      </c>
      <c r="AA75" s="37">
        <f t="shared" ref="AA75" si="78">$I75*N75</f>
        <v>0</v>
      </c>
      <c r="AB75" s="37">
        <f t="shared" ref="AB75" si="79">$I75*O75</f>
        <v>0</v>
      </c>
      <c r="AC75" s="37">
        <f t="shared" ref="AC75" si="80">$I75*P75</f>
        <v>0</v>
      </c>
      <c r="AD75" s="37">
        <f t="shared" ref="AD75" si="81">$I75*Q75</f>
        <v>0</v>
      </c>
      <c r="AE75" s="37">
        <f t="shared" ref="AE75" si="82">$I75*R75</f>
        <v>0</v>
      </c>
      <c r="AF75" s="37">
        <f t="shared" ref="AF75" si="83">$I75*S75</f>
        <v>5923.3049999999994</v>
      </c>
      <c r="AG75" s="37">
        <f t="shared" ref="AG75" si="84">$I75*T75</f>
        <v>5150.7</v>
      </c>
      <c r="AH75" s="37">
        <f t="shared" ref="AH75" si="85">$I75*U75</f>
        <v>0</v>
      </c>
      <c r="AI75" s="37">
        <f t="shared" ref="AI75" si="86">$I75*V75</f>
        <v>0</v>
      </c>
      <c r="AJ75" s="37">
        <f t="shared" ref="AJ75" si="87">$I75*W75</f>
        <v>0</v>
      </c>
      <c r="AK75" s="37">
        <f t="shared" ref="AK75" si="88">$I75*X75</f>
        <v>0</v>
      </c>
      <c r="AL75" s="37">
        <f t="shared" ref="AL75" si="89">$I75*Y75</f>
        <v>0</v>
      </c>
      <c r="AM75" s="120">
        <v>1</v>
      </c>
    </row>
    <row r="76" spans="1:39" s="91" customFormat="1" ht="15.6">
      <c r="A76" s="87" t="s">
        <v>92</v>
      </c>
      <c r="B76" s="92" t="s">
        <v>121</v>
      </c>
      <c r="C76" s="88" t="s">
        <v>196</v>
      </c>
      <c r="D76" s="88" t="s">
        <v>855</v>
      </c>
      <c r="E76" s="38" t="s">
        <v>197</v>
      </c>
      <c r="F76" s="83" t="s">
        <v>29</v>
      </c>
      <c r="G76" s="89" t="s">
        <v>49</v>
      </c>
      <c r="H76" s="89" t="s">
        <v>36</v>
      </c>
      <c r="I76" s="108">
        <v>24.5</v>
      </c>
      <c r="J76" s="88" t="s">
        <v>91</v>
      </c>
      <c r="K76" s="38" t="s">
        <v>127</v>
      </c>
      <c r="L76" s="38" t="s">
        <v>34</v>
      </c>
      <c r="M76" s="90" t="s">
        <v>1</v>
      </c>
      <c r="N76" s="84">
        <v>165.87</v>
      </c>
      <c r="O76" s="84">
        <v>165.87</v>
      </c>
      <c r="P76" s="84">
        <v>209.51999999999998</v>
      </c>
      <c r="Q76" s="84">
        <v>174.6</v>
      </c>
      <c r="R76" s="84">
        <v>165.87</v>
      </c>
      <c r="S76" s="84">
        <v>155</v>
      </c>
      <c r="T76" s="84"/>
      <c r="U76" s="84"/>
      <c r="V76" s="84"/>
      <c r="W76" s="84"/>
      <c r="X76" s="84"/>
      <c r="Y76" s="84"/>
      <c r="Z76" s="38" t="s">
        <v>1180</v>
      </c>
      <c r="AA76" s="37">
        <f t="shared" si="66"/>
        <v>4063.8150000000001</v>
      </c>
      <c r="AB76" s="37">
        <f t="shared" si="67"/>
        <v>4063.8150000000001</v>
      </c>
      <c r="AC76" s="37">
        <f t="shared" si="68"/>
        <v>5133.24</v>
      </c>
      <c r="AD76" s="37">
        <f t="shared" si="69"/>
        <v>4277.7</v>
      </c>
      <c r="AE76" s="37">
        <f t="shared" si="70"/>
        <v>4063.8150000000001</v>
      </c>
      <c r="AF76" s="37">
        <f t="shared" si="71"/>
        <v>3797.5</v>
      </c>
      <c r="AG76" s="37">
        <f t="shared" si="72"/>
        <v>0</v>
      </c>
      <c r="AH76" s="37">
        <f t="shared" si="73"/>
        <v>0</v>
      </c>
      <c r="AI76" s="37">
        <f t="shared" si="74"/>
        <v>0</v>
      </c>
      <c r="AJ76" s="37">
        <f t="shared" si="75"/>
        <v>0</v>
      </c>
      <c r="AK76" s="37">
        <f t="shared" si="76"/>
        <v>0</v>
      </c>
      <c r="AL76" s="37">
        <f t="shared" si="77"/>
        <v>0</v>
      </c>
      <c r="AM76" s="120">
        <v>1</v>
      </c>
    </row>
    <row r="77" spans="1:39" s="91" customFormat="1" ht="15.6">
      <c r="A77" s="87" t="s">
        <v>92</v>
      </c>
      <c r="B77" s="92" t="s">
        <v>121</v>
      </c>
      <c r="C77" s="96" t="s">
        <v>198</v>
      </c>
      <c r="D77" s="96" t="s">
        <v>856</v>
      </c>
      <c r="E77" s="96" t="s">
        <v>199</v>
      </c>
      <c r="F77" s="83" t="s">
        <v>29</v>
      </c>
      <c r="G77" s="89" t="s">
        <v>35</v>
      </c>
      <c r="H77" s="89" t="s">
        <v>36</v>
      </c>
      <c r="I77" s="108">
        <v>29.5</v>
      </c>
      <c r="J77" s="88" t="s">
        <v>91</v>
      </c>
      <c r="K77" s="38" t="s">
        <v>127</v>
      </c>
      <c r="L77" s="38" t="s">
        <v>34</v>
      </c>
      <c r="M77" s="90" t="s">
        <v>1</v>
      </c>
      <c r="N77" s="36">
        <v>174.6</v>
      </c>
      <c r="O77" s="36">
        <v>165.87</v>
      </c>
      <c r="P77" s="36">
        <v>200.79</v>
      </c>
      <c r="Q77" s="36">
        <v>174.6</v>
      </c>
      <c r="R77" s="36">
        <v>165.87</v>
      </c>
      <c r="S77" s="36">
        <v>209.51999999999998</v>
      </c>
      <c r="T77" s="36">
        <v>174.6</v>
      </c>
      <c r="U77" s="36">
        <v>218.25</v>
      </c>
      <c r="V77" s="36">
        <v>165.87</v>
      </c>
      <c r="W77" s="36">
        <v>157.13999999999999</v>
      </c>
      <c r="X77" s="36">
        <v>209.51999999999998</v>
      </c>
      <c r="Y77" s="36">
        <v>165.87</v>
      </c>
      <c r="Z77" s="38"/>
      <c r="AA77" s="37">
        <f t="shared" si="66"/>
        <v>5150.7</v>
      </c>
      <c r="AB77" s="37">
        <f t="shared" si="67"/>
        <v>4893.165</v>
      </c>
      <c r="AC77" s="37">
        <f t="shared" si="68"/>
        <v>5923.3049999999994</v>
      </c>
      <c r="AD77" s="37">
        <f t="shared" si="69"/>
        <v>5150.7</v>
      </c>
      <c r="AE77" s="37">
        <f t="shared" si="70"/>
        <v>4893.165</v>
      </c>
      <c r="AF77" s="37">
        <f t="shared" si="71"/>
        <v>6180.8399999999992</v>
      </c>
      <c r="AG77" s="37">
        <f t="shared" si="72"/>
        <v>5150.7</v>
      </c>
      <c r="AH77" s="37">
        <f t="shared" si="73"/>
        <v>6438.375</v>
      </c>
      <c r="AI77" s="37">
        <f t="shared" si="74"/>
        <v>4893.165</v>
      </c>
      <c r="AJ77" s="37">
        <f t="shared" si="75"/>
        <v>4635.6299999999992</v>
      </c>
      <c r="AK77" s="37">
        <f t="shared" si="76"/>
        <v>6180.8399999999992</v>
      </c>
      <c r="AL77" s="37">
        <f t="shared" si="77"/>
        <v>4893.165</v>
      </c>
      <c r="AM77" s="120">
        <v>1</v>
      </c>
    </row>
    <row r="78" spans="1:39" s="91" customFormat="1" ht="15.6">
      <c r="A78" s="87" t="s">
        <v>92</v>
      </c>
      <c r="B78" s="92" t="s">
        <v>121</v>
      </c>
      <c r="C78" s="88" t="s">
        <v>200</v>
      </c>
      <c r="D78" s="88" t="s">
        <v>857</v>
      </c>
      <c r="E78" s="38" t="s">
        <v>201</v>
      </c>
      <c r="F78" s="83" t="s">
        <v>29</v>
      </c>
      <c r="G78" s="89" t="s">
        <v>202</v>
      </c>
      <c r="H78" s="89" t="s">
        <v>36</v>
      </c>
      <c r="I78" s="108">
        <v>29.5</v>
      </c>
      <c r="J78" s="88" t="s">
        <v>91</v>
      </c>
      <c r="K78" s="38" t="s">
        <v>127</v>
      </c>
      <c r="L78" s="38" t="s">
        <v>34</v>
      </c>
      <c r="M78" s="90" t="s">
        <v>1</v>
      </c>
      <c r="N78" s="84">
        <v>165.87</v>
      </c>
      <c r="O78" s="84">
        <v>165.87</v>
      </c>
      <c r="P78" s="84">
        <v>209.51999999999998</v>
      </c>
      <c r="Q78" s="84">
        <v>174.6</v>
      </c>
      <c r="R78" s="84">
        <v>165.87</v>
      </c>
      <c r="S78" s="84">
        <v>200.79</v>
      </c>
      <c r="T78" s="84">
        <v>174.6</v>
      </c>
      <c r="U78" s="84">
        <v>218.25</v>
      </c>
      <c r="V78" s="84">
        <v>165.87</v>
      </c>
      <c r="W78" s="84">
        <v>157.13999999999999</v>
      </c>
      <c r="X78" s="84">
        <v>218.25</v>
      </c>
      <c r="Y78" s="84">
        <v>165.87</v>
      </c>
      <c r="Z78" s="38"/>
      <c r="AA78" s="37">
        <f t="shared" si="66"/>
        <v>4893.165</v>
      </c>
      <c r="AB78" s="37">
        <f t="shared" si="67"/>
        <v>4893.165</v>
      </c>
      <c r="AC78" s="37">
        <f t="shared" si="68"/>
        <v>6180.8399999999992</v>
      </c>
      <c r="AD78" s="37">
        <f t="shared" si="69"/>
        <v>5150.7</v>
      </c>
      <c r="AE78" s="37">
        <f t="shared" si="70"/>
        <v>4893.165</v>
      </c>
      <c r="AF78" s="37">
        <f t="shared" si="71"/>
        <v>5923.3049999999994</v>
      </c>
      <c r="AG78" s="37">
        <f t="shared" si="72"/>
        <v>5150.7</v>
      </c>
      <c r="AH78" s="37">
        <f t="shared" si="73"/>
        <v>6438.375</v>
      </c>
      <c r="AI78" s="37">
        <f t="shared" si="74"/>
        <v>4893.165</v>
      </c>
      <c r="AJ78" s="37">
        <f t="shared" si="75"/>
        <v>4635.6299999999992</v>
      </c>
      <c r="AK78" s="37">
        <f t="shared" si="76"/>
        <v>6438.375</v>
      </c>
      <c r="AL78" s="37">
        <f t="shared" si="77"/>
        <v>4893.165</v>
      </c>
      <c r="AM78" s="120">
        <v>1</v>
      </c>
    </row>
    <row r="79" spans="1:39" s="91" customFormat="1" ht="15.6">
      <c r="A79" s="87" t="s">
        <v>92</v>
      </c>
      <c r="B79" s="92" t="s">
        <v>121</v>
      </c>
      <c r="C79" s="96" t="s">
        <v>203</v>
      </c>
      <c r="D79" s="96" t="s">
        <v>858</v>
      </c>
      <c r="E79" s="38" t="s">
        <v>204</v>
      </c>
      <c r="F79" s="83" t="s">
        <v>29</v>
      </c>
      <c r="G79" s="83" t="s">
        <v>30</v>
      </c>
      <c r="H79" s="89">
        <v>8</v>
      </c>
      <c r="I79" s="108">
        <v>50.5</v>
      </c>
      <c r="J79" s="88" t="s">
        <v>91</v>
      </c>
      <c r="K79" s="38" t="s">
        <v>127</v>
      </c>
      <c r="L79" s="38" t="s">
        <v>34</v>
      </c>
      <c r="M79" s="90" t="s">
        <v>1</v>
      </c>
      <c r="N79" s="84">
        <v>165.87</v>
      </c>
      <c r="O79" s="84">
        <v>165.87</v>
      </c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38" t="s">
        <v>1086</v>
      </c>
      <c r="AA79" s="37">
        <f t="shared" si="66"/>
        <v>8376.4349999999995</v>
      </c>
      <c r="AB79" s="37">
        <f t="shared" si="67"/>
        <v>8376.4349999999995</v>
      </c>
      <c r="AC79" s="37">
        <f t="shared" si="68"/>
        <v>0</v>
      </c>
      <c r="AD79" s="37">
        <f t="shared" si="69"/>
        <v>0</v>
      </c>
      <c r="AE79" s="37">
        <f t="shared" si="70"/>
        <v>0</v>
      </c>
      <c r="AF79" s="37">
        <f t="shared" si="71"/>
        <v>0</v>
      </c>
      <c r="AG79" s="37">
        <f t="shared" si="72"/>
        <v>0</v>
      </c>
      <c r="AH79" s="37">
        <f t="shared" si="73"/>
        <v>0</v>
      </c>
      <c r="AI79" s="37">
        <f t="shared" si="74"/>
        <v>0</v>
      </c>
      <c r="AJ79" s="37">
        <f t="shared" si="75"/>
        <v>0</v>
      </c>
      <c r="AK79" s="37">
        <f t="shared" si="76"/>
        <v>0</v>
      </c>
      <c r="AL79" s="37">
        <f t="shared" si="77"/>
        <v>0</v>
      </c>
      <c r="AM79" s="120">
        <v>1</v>
      </c>
    </row>
    <row r="80" spans="1:39" s="91" customFormat="1" ht="15.6">
      <c r="A80" s="87" t="s">
        <v>92</v>
      </c>
      <c r="B80" s="92" t="s">
        <v>121</v>
      </c>
      <c r="C80" s="98" t="s">
        <v>602</v>
      </c>
      <c r="D80" s="98" t="s">
        <v>778</v>
      </c>
      <c r="E80" s="38" t="s">
        <v>590</v>
      </c>
      <c r="F80" s="83" t="s">
        <v>29</v>
      </c>
      <c r="G80" s="83" t="s">
        <v>30</v>
      </c>
      <c r="H80" s="89">
        <v>8</v>
      </c>
      <c r="I80" s="108">
        <v>42</v>
      </c>
      <c r="J80" s="88" t="s">
        <v>91</v>
      </c>
      <c r="K80" s="38" t="s">
        <v>127</v>
      </c>
      <c r="L80" s="38" t="s">
        <v>34</v>
      </c>
      <c r="M80" s="90" t="s">
        <v>1</v>
      </c>
      <c r="N80" s="84">
        <f>45*3</f>
        <v>135</v>
      </c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38" t="s">
        <v>707</v>
      </c>
      <c r="AA80" s="37">
        <f t="shared" si="66"/>
        <v>5670</v>
      </c>
      <c r="AB80" s="37">
        <f t="shared" si="67"/>
        <v>0</v>
      </c>
      <c r="AC80" s="37">
        <f t="shared" si="68"/>
        <v>0</v>
      </c>
      <c r="AD80" s="37">
        <f t="shared" si="69"/>
        <v>0</v>
      </c>
      <c r="AE80" s="37">
        <f t="shared" si="70"/>
        <v>0</v>
      </c>
      <c r="AF80" s="37">
        <f t="shared" si="71"/>
        <v>0</v>
      </c>
      <c r="AG80" s="37">
        <f t="shared" si="72"/>
        <v>0</v>
      </c>
      <c r="AH80" s="37">
        <f t="shared" si="73"/>
        <v>0</v>
      </c>
      <c r="AI80" s="37">
        <f t="shared" si="74"/>
        <v>0</v>
      </c>
      <c r="AJ80" s="37">
        <f t="shared" si="75"/>
        <v>0</v>
      </c>
      <c r="AK80" s="37">
        <f t="shared" si="76"/>
        <v>0</v>
      </c>
      <c r="AL80" s="37">
        <f t="shared" si="77"/>
        <v>0</v>
      </c>
      <c r="AM80" s="120">
        <v>1</v>
      </c>
    </row>
    <row r="81" spans="1:39" s="91" customFormat="1" ht="15.6">
      <c r="A81" s="87" t="s">
        <v>92</v>
      </c>
      <c r="B81" s="92" t="s">
        <v>121</v>
      </c>
      <c r="C81" s="88" t="s">
        <v>205</v>
      </c>
      <c r="D81" s="88" t="s">
        <v>859</v>
      </c>
      <c r="E81" s="38" t="s">
        <v>206</v>
      </c>
      <c r="F81" s="83" t="s">
        <v>29</v>
      </c>
      <c r="G81" s="83" t="s">
        <v>30</v>
      </c>
      <c r="H81" s="89" t="s">
        <v>36</v>
      </c>
      <c r="I81" s="108">
        <v>29.5</v>
      </c>
      <c r="J81" s="88" t="s">
        <v>91</v>
      </c>
      <c r="K81" s="38" t="s">
        <v>127</v>
      </c>
      <c r="L81" s="38" t="s">
        <v>34</v>
      </c>
      <c r="M81" s="90" t="s">
        <v>1</v>
      </c>
      <c r="N81" s="84">
        <v>165.87</v>
      </c>
      <c r="O81" s="84">
        <v>165.87</v>
      </c>
      <c r="P81" s="84">
        <v>209.51999999999998</v>
      </c>
      <c r="Q81" s="84">
        <v>165.87</v>
      </c>
      <c r="R81" s="84">
        <v>165.87</v>
      </c>
      <c r="S81" s="84">
        <v>209.51999999999998</v>
      </c>
      <c r="T81" s="84">
        <v>174.6</v>
      </c>
      <c r="U81" s="84">
        <v>218.25</v>
      </c>
      <c r="V81" s="84">
        <v>165.87</v>
      </c>
      <c r="W81" s="84">
        <v>157.13999999999999</v>
      </c>
      <c r="X81" s="84">
        <v>218.25</v>
      </c>
      <c r="Y81" s="84">
        <v>165.87</v>
      </c>
      <c r="Z81" s="38"/>
      <c r="AA81" s="37">
        <f t="shared" si="66"/>
        <v>4893.165</v>
      </c>
      <c r="AB81" s="37">
        <f t="shared" si="67"/>
        <v>4893.165</v>
      </c>
      <c r="AC81" s="37">
        <f t="shared" si="68"/>
        <v>6180.8399999999992</v>
      </c>
      <c r="AD81" s="37">
        <f t="shared" si="69"/>
        <v>4893.165</v>
      </c>
      <c r="AE81" s="37">
        <f t="shared" si="70"/>
        <v>4893.165</v>
      </c>
      <c r="AF81" s="37">
        <f t="shared" si="71"/>
        <v>6180.8399999999992</v>
      </c>
      <c r="AG81" s="37">
        <f t="shared" si="72"/>
        <v>5150.7</v>
      </c>
      <c r="AH81" s="37">
        <f t="shared" si="73"/>
        <v>6438.375</v>
      </c>
      <c r="AI81" s="37">
        <f t="shared" si="74"/>
        <v>4893.165</v>
      </c>
      <c r="AJ81" s="37">
        <f t="shared" si="75"/>
        <v>4635.6299999999992</v>
      </c>
      <c r="AK81" s="37">
        <f t="shared" si="76"/>
        <v>6438.375</v>
      </c>
      <c r="AL81" s="37">
        <f t="shared" si="77"/>
        <v>4893.165</v>
      </c>
      <c r="AM81" s="120">
        <v>1</v>
      </c>
    </row>
    <row r="82" spans="1:39" s="91" customFormat="1" ht="15.6">
      <c r="A82" s="87" t="s">
        <v>92</v>
      </c>
      <c r="B82" s="92" t="s">
        <v>121</v>
      </c>
      <c r="C82" s="38" t="s">
        <v>209</v>
      </c>
      <c r="D82" s="38" t="s">
        <v>789</v>
      </c>
      <c r="E82" s="38" t="s">
        <v>210</v>
      </c>
      <c r="F82" s="83" t="s">
        <v>637</v>
      </c>
      <c r="G82" s="89" t="s">
        <v>73</v>
      </c>
      <c r="H82" s="83">
        <v>7</v>
      </c>
      <c r="I82" s="108">
        <v>96.5</v>
      </c>
      <c r="J82" s="88" t="s">
        <v>45</v>
      </c>
      <c r="K82" s="38" t="s">
        <v>140</v>
      </c>
      <c r="L82" s="38" t="s">
        <v>74</v>
      </c>
      <c r="M82" s="90" t="s">
        <v>2</v>
      </c>
      <c r="N82" s="84">
        <v>171</v>
      </c>
      <c r="O82" s="84">
        <v>171</v>
      </c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38" t="s">
        <v>675</v>
      </c>
      <c r="AA82" s="37">
        <f t="shared" ref="AA82" si="90">$I82*N82</f>
        <v>16501.5</v>
      </c>
      <c r="AB82" s="37">
        <f t="shared" ref="AB82" si="91">$I82*O82</f>
        <v>16501.5</v>
      </c>
      <c r="AC82" s="37">
        <f t="shared" ref="AC82" si="92">$I82*P82</f>
        <v>0</v>
      </c>
      <c r="AD82" s="37">
        <f t="shared" ref="AD82" si="93">$I82*Q82</f>
        <v>0</v>
      </c>
      <c r="AE82" s="37">
        <f t="shared" ref="AE82" si="94">$I82*R82</f>
        <v>0</v>
      </c>
      <c r="AF82" s="37">
        <f t="shared" ref="AF82" si="95">$I82*S82</f>
        <v>0</v>
      </c>
      <c r="AG82" s="37">
        <f t="shared" ref="AG82" si="96">$I82*T82</f>
        <v>0</v>
      </c>
      <c r="AH82" s="37">
        <f t="shared" ref="AH82" si="97">$I82*U82</f>
        <v>0</v>
      </c>
      <c r="AI82" s="37">
        <f t="shared" ref="AI82" si="98">$I82*V82</f>
        <v>0</v>
      </c>
      <c r="AJ82" s="37">
        <f t="shared" ref="AJ82" si="99">$I82*W82</f>
        <v>0</v>
      </c>
      <c r="AK82" s="37">
        <f t="shared" ref="AK82" si="100">$I82*X82</f>
        <v>0</v>
      </c>
      <c r="AL82" s="37">
        <f t="shared" ref="AL82" si="101">$I82*Y82</f>
        <v>0</v>
      </c>
      <c r="AM82" s="120">
        <v>1</v>
      </c>
    </row>
    <row r="83" spans="1:39" s="91" customFormat="1" ht="15.6">
      <c r="A83" s="87" t="s">
        <v>92</v>
      </c>
      <c r="B83" s="92" t="s">
        <v>121</v>
      </c>
      <c r="C83" s="38" t="s">
        <v>1125</v>
      </c>
      <c r="D83" s="38" t="s">
        <v>1124</v>
      </c>
      <c r="E83" s="38" t="s">
        <v>1123</v>
      </c>
      <c r="F83" s="83" t="s">
        <v>73</v>
      </c>
      <c r="G83" s="89" t="s">
        <v>73</v>
      </c>
      <c r="H83" s="83">
        <v>7</v>
      </c>
      <c r="I83" s="108">
        <v>102</v>
      </c>
      <c r="J83" s="88" t="s">
        <v>45</v>
      </c>
      <c r="K83" s="38" t="s">
        <v>140</v>
      </c>
      <c r="L83" s="38" t="s">
        <v>74</v>
      </c>
      <c r="M83" s="90" t="s">
        <v>3</v>
      </c>
      <c r="N83" s="84"/>
      <c r="O83" s="84"/>
      <c r="P83" s="84"/>
      <c r="Q83" s="84"/>
      <c r="R83" s="36">
        <f t="shared" ref="R83:Y83" si="102">R71</f>
        <v>165.87</v>
      </c>
      <c r="S83" s="36">
        <f t="shared" si="102"/>
        <v>209.51999999999998</v>
      </c>
      <c r="T83" s="36">
        <f t="shared" si="102"/>
        <v>174.6</v>
      </c>
      <c r="U83" s="36">
        <f t="shared" si="102"/>
        <v>218.25</v>
      </c>
      <c r="V83" s="36">
        <f t="shared" si="102"/>
        <v>165.87</v>
      </c>
      <c r="W83" s="36">
        <f t="shared" si="102"/>
        <v>157.13999999999999</v>
      </c>
      <c r="X83" s="36">
        <f t="shared" si="102"/>
        <v>209.51999999999998</v>
      </c>
      <c r="Y83" s="122">
        <f t="shared" si="102"/>
        <v>165.87</v>
      </c>
      <c r="Z83" s="38" t="s">
        <v>279</v>
      </c>
      <c r="AA83" s="37">
        <f t="shared" si="66"/>
        <v>0</v>
      </c>
      <c r="AB83" s="37">
        <f t="shared" si="67"/>
        <v>0</v>
      </c>
      <c r="AC83" s="37">
        <f t="shared" si="68"/>
        <v>0</v>
      </c>
      <c r="AD83" s="37">
        <f t="shared" si="69"/>
        <v>0</v>
      </c>
      <c r="AE83" s="37">
        <f t="shared" si="70"/>
        <v>16918.740000000002</v>
      </c>
      <c r="AF83" s="37">
        <f t="shared" si="71"/>
        <v>21371.039999999997</v>
      </c>
      <c r="AG83" s="37">
        <f t="shared" si="72"/>
        <v>17809.2</v>
      </c>
      <c r="AH83" s="37">
        <f t="shared" si="73"/>
        <v>22261.5</v>
      </c>
      <c r="AI83" s="37">
        <f t="shared" si="74"/>
        <v>16918.740000000002</v>
      </c>
      <c r="AJ83" s="37">
        <f t="shared" si="75"/>
        <v>16028.279999999999</v>
      </c>
      <c r="AK83" s="37">
        <f t="shared" si="76"/>
        <v>21371.039999999997</v>
      </c>
      <c r="AL83" s="37">
        <f t="shared" si="77"/>
        <v>16918.740000000002</v>
      </c>
      <c r="AM83" s="120">
        <v>1</v>
      </c>
    </row>
    <row r="84" spans="1:39" s="91" customFormat="1" ht="15.6">
      <c r="A84" s="87" t="s">
        <v>92</v>
      </c>
      <c r="B84" s="92" t="s">
        <v>121</v>
      </c>
      <c r="C84" s="88" t="s">
        <v>212</v>
      </c>
      <c r="D84" s="88" t="s">
        <v>860</v>
      </c>
      <c r="E84" s="38" t="s">
        <v>213</v>
      </c>
      <c r="F84" s="89" t="s">
        <v>29</v>
      </c>
      <c r="G84" s="89" t="s">
        <v>50</v>
      </c>
      <c r="H84" s="89" t="s">
        <v>60</v>
      </c>
      <c r="I84" s="108">
        <v>17.5</v>
      </c>
      <c r="J84" s="88" t="s">
        <v>91</v>
      </c>
      <c r="K84" s="38" t="s">
        <v>122</v>
      </c>
      <c r="L84" s="38" t="s">
        <v>34</v>
      </c>
      <c r="M84" s="90" t="s">
        <v>1</v>
      </c>
      <c r="N84" s="84">
        <v>165.87</v>
      </c>
      <c r="O84" s="84">
        <v>165.87</v>
      </c>
      <c r="P84" s="84">
        <v>209.51999999999998</v>
      </c>
      <c r="Q84" s="84">
        <v>174.6</v>
      </c>
      <c r="R84" s="84">
        <v>165.87</v>
      </c>
      <c r="S84" s="84">
        <v>200.79</v>
      </c>
      <c r="T84" s="84">
        <v>174.6</v>
      </c>
      <c r="U84" s="84">
        <v>218.25</v>
      </c>
      <c r="V84" s="84">
        <v>165.87</v>
      </c>
      <c r="W84" s="84">
        <v>157.13999999999999</v>
      </c>
      <c r="X84" s="84">
        <v>218.25</v>
      </c>
      <c r="Y84" s="84">
        <v>165.87</v>
      </c>
      <c r="Z84" s="38"/>
      <c r="AA84" s="37">
        <f t="shared" si="66"/>
        <v>2902.7249999999999</v>
      </c>
      <c r="AB84" s="37">
        <f t="shared" si="67"/>
        <v>2902.7249999999999</v>
      </c>
      <c r="AC84" s="37">
        <f t="shared" si="68"/>
        <v>3666.5999999999995</v>
      </c>
      <c r="AD84" s="37">
        <f t="shared" si="69"/>
        <v>3055.5</v>
      </c>
      <c r="AE84" s="37">
        <f t="shared" si="70"/>
        <v>2902.7249999999999</v>
      </c>
      <c r="AF84" s="37">
        <f t="shared" si="71"/>
        <v>3513.8249999999998</v>
      </c>
      <c r="AG84" s="37">
        <f t="shared" si="72"/>
        <v>3055.5</v>
      </c>
      <c r="AH84" s="37">
        <f t="shared" si="73"/>
        <v>3819.375</v>
      </c>
      <c r="AI84" s="37">
        <f t="shared" si="74"/>
        <v>2902.7249999999999</v>
      </c>
      <c r="AJ84" s="37">
        <f t="shared" si="75"/>
        <v>2749.95</v>
      </c>
      <c r="AK84" s="37">
        <f t="shared" si="76"/>
        <v>3819.375</v>
      </c>
      <c r="AL84" s="37">
        <f t="shared" si="77"/>
        <v>2902.7249999999999</v>
      </c>
      <c r="AM84" s="120">
        <v>1</v>
      </c>
    </row>
    <row r="85" spans="1:39" s="91" customFormat="1" ht="15.6">
      <c r="A85" s="87" t="s">
        <v>92</v>
      </c>
      <c r="B85" s="92" t="s">
        <v>121</v>
      </c>
      <c r="C85" s="38" t="s">
        <v>556</v>
      </c>
      <c r="D85" s="38" t="s">
        <v>861</v>
      </c>
      <c r="E85" s="38" t="s">
        <v>207</v>
      </c>
      <c r="F85" s="83" t="s">
        <v>72</v>
      </c>
      <c r="G85" s="89" t="s">
        <v>73</v>
      </c>
      <c r="H85" s="83">
        <v>8</v>
      </c>
      <c r="I85" s="108">
        <v>185.5</v>
      </c>
      <c r="J85" s="88" t="s">
        <v>61</v>
      </c>
      <c r="K85" s="38" t="s">
        <v>208</v>
      </c>
      <c r="L85" s="38" t="s">
        <v>74</v>
      </c>
      <c r="M85" s="90" t="s">
        <v>2</v>
      </c>
      <c r="N85" s="84">
        <v>70</v>
      </c>
      <c r="O85" s="84">
        <v>152</v>
      </c>
      <c r="P85" s="84">
        <v>192</v>
      </c>
      <c r="Q85" s="84">
        <v>160</v>
      </c>
      <c r="R85" s="84">
        <v>152</v>
      </c>
      <c r="S85" s="84">
        <v>200</v>
      </c>
      <c r="T85" s="84">
        <v>152</v>
      </c>
      <c r="U85" s="84">
        <v>192</v>
      </c>
      <c r="V85" s="84">
        <v>152</v>
      </c>
      <c r="W85" s="84">
        <v>152</v>
      </c>
      <c r="X85" s="84">
        <v>192</v>
      </c>
      <c r="Y85" s="84">
        <v>152</v>
      </c>
      <c r="Z85" s="38" t="s">
        <v>690</v>
      </c>
      <c r="AA85" s="37">
        <f t="shared" si="66"/>
        <v>12985</v>
      </c>
      <c r="AB85" s="37">
        <f t="shared" si="67"/>
        <v>28196</v>
      </c>
      <c r="AC85" s="37">
        <f t="shared" si="68"/>
        <v>35616</v>
      </c>
      <c r="AD85" s="37">
        <f t="shared" si="69"/>
        <v>29680</v>
      </c>
      <c r="AE85" s="37">
        <f t="shared" si="70"/>
        <v>28196</v>
      </c>
      <c r="AF85" s="37">
        <f t="shared" si="71"/>
        <v>37100</v>
      </c>
      <c r="AG85" s="37">
        <f t="shared" si="72"/>
        <v>28196</v>
      </c>
      <c r="AH85" s="37">
        <f t="shared" si="73"/>
        <v>35616</v>
      </c>
      <c r="AI85" s="37">
        <f t="shared" si="74"/>
        <v>28196</v>
      </c>
      <c r="AJ85" s="37">
        <f t="shared" si="75"/>
        <v>28196</v>
      </c>
      <c r="AK85" s="37">
        <f t="shared" si="76"/>
        <v>35616</v>
      </c>
      <c r="AL85" s="37">
        <f t="shared" si="77"/>
        <v>28196</v>
      </c>
      <c r="AM85" s="120">
        <v>1</v>
      </c>
    </row>
    <row r="86" spans="1:39" s="91" customFormat="1" ht="15.6">
      <c r="A86" s="87" t="s">
        <v>92</v>
      </c>
      <c r="B86" s="92" t="s">
        <v>121</v>
      </c>
      <c r="C86" s="88" t="s">
        <v>216</v>
      </c>
      <c r="D86" s="88" t="s">
        <v>862</v>
      </c>
      <c r="E86" s="38" t="s">
        <v>217</v>
      </c>
      <c r="F86" s="89" t="s">
        <v>29</v>
      </c>
      <c r="G86" s="89" t="s">
        <v>49</v>
      </c>
      <c r="H86" s="89" t="s">
        <v>36</v>
      </c>
      <c r="I86" s="108">
        <v>29.5</v>
      </c>
      <c r="J86" s="88" t="s">
        <v>91</v>
      </c>
      <c r="K86" s="38" t="s">
        <v>135</v>
      </c>
      <c r="L86" s="38" t="s">
        <v>34</v>
      </c>
      <c r="M86" s="90" t="s">
        <v>1</v>
      </c>
      <c r="N86" s="84">
        <v>165.87</v>
      </c>
      <c r="O86" s="84">
        <v>165.87</v>
      </c>
      <c r="P86" s="84">
        <v>209.51999999999998</v>
      </c>
      <c r="Q86" s="84">
        <v>174.6</v>
      </c>
      <c r="R86" s="84">
        <v>165.87</v>
      </c>
      <c r="S86" s="84">
        <v>200.79</v>
      </c>
      <c r="T86" s="84">
        <v>174.6</v>
      </c>
      <c r="U86" s="84">
        <v>218.25</v>
      </c>
      <c r="V86" s="84">
        <v>165.87</v>
      </c>
      <c r="W86" s="84">
        <v>157.13999999999999</v>
      </c>
      <c r="X86" s="84">
        <v>218.25</v>
      </c>
      <c r="Y86" s="84">
        <v>165.87</v>
      </c>
      <c r="Z86" s="38"/>
      <c r="AA86" s="37">
        <f t="shared" si="66"/>
        <v>4893.165</v>
      </c>
      <c r="AB86" s="37">
        <f t="shared" si="67"/>
        <v>4893.165</v>
      </c>
      <c r="AC86" s="37">
        <f t="shared" si="68"/>
        <v>6180.8399999999992</v>
      </c>
      <c r="AD86" s="37">
        <f t="shared" si="69"/>
        <v>5150.7</v>
      </c>
      <c r="AE86" s="37">
        <f t="shared" si="70"/>
        <v>4893.165</v>
      </c>
      <c r="AF86" s="37">
        <f t="shared" si="71"/>
        <v>5923.3049999999994</v>
      </c>
      <c r="AG86" s="37">
        <f t="shared" si="72"/>
        <v>5150.7</v>
      </c>
      <c r="AH86" s="37">
        <f t="shared" si="73"/>
        <v>6438.375</v>
      </c>
      <c r="AI86" s="37">
        <f t="shared" si="74"/>
        <v>4893.165</v>
      </c>
      <c r="AJ86" s="37">
        <f t="shared" si="75"/>
        <v>4635.6299999999992</v>
      </c>
      <c r="AK86" s="37">
        <f t="shared" si="76"/>
        <v>6438.375</v>
      </c>
      <c r="AL86" s="37">
        <f t="shared" si="77"/>
        <v>4893.165</v>
      </c>
      <c r="AM86" s="120">
        <v>1</v>
      </c>
    </row>
    <row r="87" spans="1:39" s="91" customFormat="1" ht="15.6">
      <c r="A87" s="87" t="s">
        <v>92</v>
      </c>
      <c r="B87" s="92" t="s">
        <v>121</v>
      </c>
      <c r="C87" s="88" t="s">
        <v>219</v>
      </c>
      <c r="D87" s="88" t="s">
        <v>863</v>
      </c>
      <c r="E87" s="38" t="s">
        <v>220</v>
      </c>
      <c r="F87" s="83" t="s">
        <v>29</v>
      </c>
      <c r="G87" s="89" t="s">
        <v>49</v>
      </c>
      <c r="H87" s="89">
        <v>8</v>
      </c>
      <c r="I87" s="108">
        <v>49</v>
      </c>
      <c r="J87" s="88" t="s">
        <v>61</v>
      </c>
      <c r="K87" s="38" t="s">
        <v>208</v>
      </c>
      <c r="L87" s="38" t="s">
        <v>34</v>
      </c>
      <c r="M87" s="90" t="s">
        <v>1</v>
      </c>
      <c r="N87" s="84">
        <v>165.87</v>
      </c>
      <c r="O87" s="84">
        <v>165.87</v>
      </c>
      <c r="P87" s="84">
        <v>209.51999999999998</v>
      </c>
      <c r="Q87" s="84">
        <v>174.6</v>
      </c>
      <c r="R87" s="84">
        <v>126</v>
      </c>
      <c r="S87" s="84">
        <v>200.79</v>
      </c>
      <c r="T87" s="84">
        <v>174.6</v>
      </c>
      <c r="U87" s="84">
        <v>218.25</v>
      </c>
      <c r="V87" s="84">
        <v>165.87</v>
      </c>
      <c r="W87" s="84">
        <v>157.13999999999999</v>
      </c>
      <c r="X87" s="84">
        <v>218.25</v>
      </c>
      <c r="Y87" s="84">
        <v>165.87</v>
      </c>
      <c r="Z87" s="38"/>
      <c r="AA87" s="37">
        <f t="shared" si="66"/>
        <v>8127.63</v>
      </c>
      <c r="AB87" s="37">
        <f t="shared" si="67"/>
        <v>8127.63</v>
      </c>
      <c r="AC87" s="37">
        <f t="shared" si="68"/>
        <v>10266.48</v>
      </c>
      <c r="AD87" s="37">
        <f t="shared" si="69"/>
        <v>8555.4</v>
      </c>
      <c r="AE87" s="37">
        <f t="shared" si="70"/>
        <v>6174</v>
      </c>
      <c r="AF87" s="37">
        <f t="shared" si="71"/>
        <v>9838.7099999999991</v>
      </c>
      <c r="AG87" s="37">
        <f t="shared" si="72"/>
        <v>8555.4</v>
      </c>
      <c r="AH87" s="37">
        <f t="shared" si="73"/>
        <v>10694.25</v>
      </c>
      <c r="AI87" s="37">
        <f t="shared" si="74"/>
        <v>8127.63</v>
      </c>
      <c r="AJ87" s="37">
        <f t="shared" si="75"/>
        <v>7699.86</v>
      </c>
      <c r="AK87" s="37">
        <f t="shared" si="76"/>
        <v>10694.25</v>
      </c>
      <c r="AL87" s="37">
        <f t="shared" si="77"/>
        <v>8127.63</v>
      </c>
      <c r="AM87" s="120">
        <v>1</v>
      </c>
    </row>
    <row r="88" spans="1:39" s="91" customFormat="1" ht="15.6">
      <c r="A88" s="87" t="s">
        <v>92</v>
      </c>
      <c r="B88" s="92" t="s">
        <v>121</v>
      </c>
      <c r="C88" s="38" t="s">
        <v>732</v>
      </c>
      <c r="D88" s="38" t="s">
        <v>864</v>
      </c>
      <c r="E88" s="38" t="s">
        <v>691</v>
      </c>
      <c r="F88" s="83" t="s">
        <v>29</v>
      </c>
      <c r="G88" s="89" t="s">
        <v>30</v>
      </c>
      <c r="H88" s="89" t="s">
        <v>31</v>
      </c>
      <c r="I88" s="108">
        <v>30.5</v>
      </c>
      <c r="J88" s="88" t="s">
        <v>61</v>
      </c>
      <c r="K88" s="38" t="s">
        <v>208</v>
      </c>
      <c r="L88" s="38" t="s">
        <v>34</v>
      </c>
      <c r="M88" s="90" t="s">
        <v>1</v>
      </c>
      <c r="N88" s="84">
        <v>165.87</v>
      </c>
      <c r="O88" s="84">
        <v>165.87</v>
      </c>
      <c r="P88" s="84">
        <v>209.51999999999998</v>
      </c>
      <c r="Q88" s="84">
        <v>165.87</v>
      </c>
      <c r="R88" s="84">
        <v>165.87</v>
      </c>
      <c r="S88" s="84">
        <v>209.51999999999998</v>
      </c>
      <c r="T88" s="84">
        <v>174.6</v>
      </c>
      <c r="U88" s="84">
        <v>218.25</v>
      </c>
      <c r="V88" s="84">
        <v>165.87</v>
      </c>
      <c r="W88" s="84">
        <v>157.13999999999999</v>
      </c>
      <c r="X88" s="84">
        <v>218.25</v>
      </c>
      <c r="Y88" s="84">
        <v>165.87</v>
      </c>
      <c r="Z88" s="38"/>
      <c r="AA88" s="37">
        <f t="shared" si="66"/>
        <v>5059.0349999999999</v>
      </c>
      <c r="AB88" s="37">
        <f t="shared" si="67"/>
        <v>5059.0349999999999</v>
      </c>
      <c r="AC88" s="37">
        <f t="shared" si="68"/>
        <v>6390.36</v>
      </c>
      <c r="AD88" s="37">
        <f t="shared" si="69"/>
        <v>5059.0349999999999</v>
      </c>
      <c r="AE88" s="37">
        <f t="shared" si="70"/>
        <v>5059.0349999999999</v>
      </c>
      <c r="AF88" s="37">
        <f t="shared" si="71"/>
        <v>6390.36</v>
      </c>
      <c r="AG88" s="37">
        <f t="shared" si="72"/>
        <v>5325.3</v>
      </c>
      <c r="AH88" s="37">
        <f t="shared" si="73"/>
        <v>6656.625</v>
      </c>
      <c r="AI88" s="37">
        <f t="shared" si="74"/>
        <v>5059.0349999999999</v>
      </c>
      <c r="AJ88" s="37">
        <f t="shared" si="75"/>
        <v>4792.7699999999995</v>
      </c>
      <c r="AK88" s="37">
        <f t="shared" si="76"/>
        <v>6656.625</v>
      </c>
      <c r="AL88" s="37">
        <f t="shared" si="77"/>
        <v>5059.0349999999999</v>
      </c>
      <c r="AM88" s="120">
        <v>1</v>
      </c>
    </row>
    <row r="89" spans="1:39" s="91" customFormat="1" ht="15.6">
      <c r="A89" s="87" t="s">
        <v>92</v>
      </c>
      <c r="B89" s="92" t="s">
        <v>121</v>
      </c>
      <c r="C89" s="88" t="s">
        <v>222</v>
      </c>
      <c r="D89" s="88" t="s">
        <v>779</v>
      </c>
      <c r="E89" s="38" t="s">
        <v>223</v>
      </c>
      <c r="F89" s="83" t="s">
        <v>29</v>
      </c>
      <c r="G89" s="89" t="s">
        <v>49</v>
      </c>
      <c r="H89" s="89">
        <v>8</v>
      </c>
      <c r="I89" s="108">
        <v>41</v>
      </c>
      <c r="J89" s="88" t="s">
        <v>61</v>
      </c>
      <c r="K89" s="38" t="s">
        <v>208</v>
      </c>
      <c r="L89" s="38" t="s">
        <v>34</v>
      </c>
      <c r="M89" s="90" t="s">
        <v>1</v>
      </c>
      <c r="N89" s="84">
        <v>165.87</v>
      </c>
      <c r="O89" s="84">
        <v>165.87</v>
      </c>
      <c r="P89" s="84">
        <v>209.51999999999998</v>
      </c>
      <c r="Q89" s="84">
        <v>174.6</v>
      </c>
      <c r="R89" s="84">
        <v>165.87</v>
      </c>
      <c r="S89" s="84">
        <v>200.79</v>
      </c>
      <c r="T89" s="84">
        <v>174.6</v>
      </c>
      <c r="U89" s="84">
        <v>218.25</v>
      </c>
      <c r="V89" s="84">
        <v>165.87</v>
      </c>
      <c r="W89" s="84">
        <v>157.13999999999999</v>
      </c>
      <c r="X89" s="84">
        <v>218.25</v>
      </c>
      <c r="Y89" s="84">
        <v>165.87</v>
      </c>
      <c r="Z89" s="38"/>
      <c r="AA89" s="37">
        <f t="shared" si="66"/>
        <v>6800.67</v>
      </c>
      <c r="AB89" s="37">
        <f t="shared" si="67"/>
        <v>6800.67</v>
      </c>
      <c r="AC89" s="37">
        <f t="shared" si="68"/>
        <v>8590.32</v>
      </c>
      <c r="AD89" s="37">
        <f t="shared" si="69"/>
        <v>7158.5999999999995</v>
      </c>
      <c r="AE89" s="37">
        <f t="shared" si="70"/>
        <v>6800.67</v>
      </c>
      <c r="AF89" s="37">
        <f t="shared" si="71"/>
        <v>8232.39</v>
      </c>
      <c r="AG89" s="37">
        <f t="shared" si="72"/>
        <v>7158.5999999999995</v>
      </c>
      <c r="AH89" s="37">
        <f t="shared" si="73"/>
        <v>8948.25</v>
      </c>
      <c r="AI89" s="37">
        <f t="shared" si="74"/>
        <v>6800.67</v>
      </c>
      <c r="AJ89" s="37">
        <f t="shared" si="75"/>
        <v>6442.74</v>
      </c>
      <c r="AK89" s="37">
        <f t="shared" si="76"/>
        <v>8948.25</v>
      </c>
      <c r="AL89" s="37">
        <f t="shared" si="77"/>
        <v>6800.67</v>
      </c>
      <c r="AM89" s="120">
        <v>1</v>
      </c>
    </row>
    <row r="90" spans="1:39" s="91" customFormat="1" ht="15.6">
      <c r="A90" s="87" t="s">
        <v>92</v>
      </c>
      <c r="B90" s="92" t="s">
        <v>121</v>
      </c>
      <c r="C90" s="88" t="s">
        <v>579</v>
      </c>
      <c r="D90" s="88" t="s">
        <v>865</v>
      </c>
      <c r="E90" s="38" t="s">
        <v>578</v>
      </c>
      <c r="F90" s="83" t="s">
        <v>29</v>
      </c>
      <c r="G90" s="83" t="s">
        <v>49</v>
      </c>
      <c r="H90" s="89" t="s">
        <v>36</v>
      </c>
      <c r="I90" s="108">
        <v>24.5</v>
      </c>
      <c r="J90" s="88" t="s">
        <v>61</v>
      </c>
      <c r="K90" s="38" t="s">
        <v>208</v>
      </c>
      <c r="L90" s="38" t="s">
        <v>34</v>
      </c>
      <c r="M90" s="90" t="s">
        <v>1</v>
      </c>
      <c r="N90" s="84">
        <v>165.87</v>
      </c>
      <c r="O90" s="84">
        <v>165.87</v>
      </c>
      <c r="P90" s="84">
        <v>209.51999999999998</v>
      </c>
      <c r="Q90" s="84">
        <v>174.6</v>
      </c>
      <c r="R90" s="84">
        <v>165.87</v>
      </c>
      <c r="S90" s="84">
        <v>200.79</v>
      </c>
      <c r="T90" s="84">
        <v>174.6</v>
      </c>
      <c r="U90" s="84">
        <v>218.25</v>
      </c>
      <c r="V90" s="84">
        <v>165.87</v>
      </c>
      <c r="W90" s="84">
        <v>157.13999999999999</v>
      </c>
      <c r="X90" s="84">
        <v>218.25</v>
      </c>
      <c r="Y90" s="84">
        <v>165.87</v>
      </c>
      <c r="Z90" s="38"/>
      <c r="AA90" s="37">
        <f t="shared" si="66"/>
        <v>4063.8150000000001</v>
      </c>
      <c r="AB90" s="37">
        <f t="shared" si="67"/>
        <v>4063.8150000000001</v>
      </c>
      <c r="AC90" s="37">
        <f t="shared" si="68"/>
        <v>5133.24</v>
      </c>
      <c r="AD90" s="37">
        <f t="shared" si="69"/>
        <v>4277.7</v>
      </c>
      <c r="AE90" s="37">
        <f t="shared" si="70"/>
        <v>4063.8150000000001</v>
      </c>
      <c r="AF90" s="37">
        <f t="shared" si="71"/>
        <v>4919.3549999999996</v>
      </c>
      <c r="AG90" s="37">
        <f t="shared" si="72"/>
        <v>4277.7</v>
      </c>
      <c r="AH90" s="37">
        <f t="shared" si="73"/>
        <v>5347.125</v>
      </c>
      <c r="AI90" s="37">
        <f t="shared" si="74"/>
        <v>4063.8150000000001</v>
      </c>
      <c r="AJ90" s="37">
        <f t="shared" si="75"/>
        <v>3849.93</v>
      </c>
      <c r="AK90" s="37">
        <f t="shared" si="76"/>
        <v>5347.125</v>
      </c>
      <c r="AL90" s="37">
        <f t="shared" si="77"/>
        <v>4063.8150000000001</v>
      </c>
      <c r="AM90" s="120">
        <v>1</v>
      </c>
    </row>
    <row r="91" spans="1:39" s="91" customFormat="1" ht="15.6">
      <c r="A91" s="87" t="s">
        <v>92</v>
      </c>
      <c r="B91" s="92" t="s">
        <v>121</v>
      </c>
      <c r="C91" s="88" t="s">
        <v>224</v>
      </c>
      <c r="D91" s="88" t="s">
        <v>866</v>
      </c>
      <c r="E91" s="38" t="s">
        <v>225</v>
      </c>
      <c r="F91" s="83" t="s">
        <v>29</v>
      </c>
      <c r="G91" s="83" t="s">
        <v>30</v>
      </c>
      <c r="H91" s="89" t="s">
        <v>36</v>
      </c>
      <c r="I91" s="108">
        <v>29.5</v>
      </c>
      <c r="J91" s="88" t="s">
        <v>61</v>
      </c>
      <c r="K91" s="38" t="s">
        <v>208</v>
      </c>
      <c r="L91" s="38" t="s">
        <v>34</v>
      </c>
      <c r="M91" s="90" t="s">
        <v>1</v>
      </c>
      <c r="N91" s="84">
        <v>165.87</v>
      </c>
      <c r="O91" s="84">
        <v>165.87</v>
      </c>
      <c r="P91" s="84">
        <v>209.51999999999998</v>
      </c>
      <c r="Q91" s="84">
        <v>165.87</v>
      </c>
      <c r="R91" s="84">
        <v>165.87</v>
      </c>
      <c r="S91" s="84">
        <v>209.51999999999998</v>
      </c>
      <c r="T91" s="84">
        <v>174.6</v>
      </c>
      <c r="U91" s="84">
        <v>218.25</v>
      </c>
      <c r="V91" s="84">
        <v>165.87</v>
      </c>
      <c r="W91" s="84">
        <v>157.13999999999999</v>
      </c>
      <c r="X91" s="84">
        <v>218.25</v>
      </c>
      <c r="Y91" s="84">
        <v>165.87</v>
      </c>
      <c r="Z91" s="38"/>
      <c r="AA91" s="37">
        <f t="shared" si="66"/>
        <v>4893.165</v>
      </c>
      <c r="AB91" s="37">
        <f t="shared" si="67"/>
        <v>4893.165</v>
      </c>
      <c r="AC91" s="37">
        <f t="shared" si="68"/>
        <v>6180.8399999999992</v>
      </c>
      <c r="AD91" s="37">
        <f t="shared" si="69"/>
        <v>4893.165</v>
      </c>
      <c r="AE91" s="37">
        <f t="shared" si="70"/>
        <v>4893.165</v>
      </c>
      <c r="AF91" s="37">
        <f t="shared" si="71"/>
        <v>6180.8399999999992</v>
      </c>
      <c r="AG91" s="37">
        <f t="shared" si="72"/>
        <v>5150.7</v>
      </c>
      <c r="AH91" s="37">
        <f t="shared" si="73"/>
        <v>6438.375</v>
      </c>
      <c r="AI91" s="37">
        <f t="shared" si="74"/>
        <v>4893.165</v>
      </c>
      <c r="AJ91" s="37">
        <f t="shared" si="75"/>
        <v>4635.6299999999992</v>
      </c>
      <c r="AK91" s="37">
        <f t="shared" si="76"/>
        <v>6438.375</v>
      </c>
      <c r="AL91" s="37">
        <f t="shared" si="77"/>
        <v>4893.165</v>
      </c>
      <c r="AM91" s="120">
        <v>1</v>
      </c>
    </row>
    <row r="92" spans="1:39" s="91" customFormat="1" ht="15.6">
      <c r="A92" s="87" t="s">
        <v>92</v>
      </c>
      <c r="B92" s="92" t="s">
        <v>121</v>
      </c>
      <c r="C92" s="38" t="s">
        <v>226</v>
      </c>
      <c r="D92" s="38" t="s">
        <v>867</v>
      </c>
      <c r="E92" s="38" t="s">
        <v>227</v>
      </c>
      <c r="F92" s="83" t="s">
        <v>29</v>
      </c>
      <c r="G92" s="89" t="s">
        <v>39</v>
      </c>
      <c r="H92" s="89" t="s">
        <v>31</v>
      </c>
      <c r="I92" s="108">
        <v>37</v>
      </c>
      <c r="J92" s="88" t="s">
        <v>45</v>
      </c>
      <c r="K92" s="38" t="s">
        <v>149</v>
      </c>
      <c r="L92" s="38" t="s">
        <v>34</v>
      </c>
      <c r="M92" s="90" t="s">
        <v>1</v>
      </c>
      <c r="N92" s="84">
        <v>165.87</v>
      </c>
      <c r="O92" s="84">
        <v>165.87</v>
      </c>
      <c r="P92" s="84">
        <v>209.51999999999998</v>
      </c>
      <c r="Q92" s="84">
        <v>27</v>
      </c>
      <c r="R92" s="84"/>
      <c r="S92" s="84"/>
      <c r="T92" s="84"/>
      <c r="U92" s="84"/>
      <c r="V92" s="84"/>
      <c r="W92" s="84"/>
      <c r="X92" s="84"/>
      <c r="Y92" s="84"/>
      <c r="Z92" s="38" t="s">
        <v>1078</v>
      </c>
      <c r="AA92" s="37">
        <f t="shared" si="66"/>
        <v>6137.1900000000005</v>
      </c>
      <c r="AB92" s="37">
        <f t="shared" si="67"/>
        <v>6137.1900000000005</v>
      </c>
      <c r="AC92" s="37">
        <f t="shared" si="68"/>
        <v>7752.24</v>
      </c>
      <c r="AD92" s="37">
        <f t="shared" si="69"/>
        <v>999</v>
      </c>
      <c r="AE92" s="37">
        <f t="shared" si="70"/>
        <v>0</v>
      </c>
      <c r="AF92" s="37">
        <f t="shared" si="71"/>
        <v>0</v>
      </c>
      <c r="AG92" s="37">
        <f t="shared" si="72"/>
        <v>0</v>
      </c>
      <c r="AH92" s="37">
        <f t="shared" si="73"/>
        <v>0</v>
      </c>
      <c r="AI92" s="37">
        <f t="shared" si="74"/>
        <v>0</v>
      </c>
      <c r="AJ92" s="37">
        <f t="shared" si="75"/>
        <v>0</v>
      </c>
      <c r="AK92" s="37">
        <f t="shared" si="76"/>
        <v>0</v>
      </c>
      <c r="AL92" s="37">
        <f t="shared" si="77"/>
        <v>0</v>
      </c>
      <c r="AM92" s="120">
        <v>1</v>
      </c>
    </row>
    <row r="93" spans="1:39" s="91" customFormat="1" ht="15.6">
      <c r="A93" s="87" t="s">
        <v>92</v>
      </c>
      <c r="B93" s="92" t="s">
        <v>121</v>
      </c>
      <c r="C93" s="38" t="s">
        <v>559</v>
      </c>
      <c r="D93" s="38" t="s">
        <v>868</v>
      </c>
      <c r="E93" s="38" t="s">
        <v>228</v>
      </c>
      <c r="F93" s="83" t="s">
        <v>112</v>
      </c>
      <c r="G93" s="89" t="s">
        <v>229</v>
      </c>
      <c r="H93" s="89">
        <v>8</v>
      </c>
      <c r="I93" s="108">
        <v>110</v>
      </c>
      <c r="J93" s="88" t="s">
        <v>45</v>
      </c>
      <c r="K93" s="38" t="s">
        <v>149</v>
      </c>
      <c r="L93" s="88" t="s">
        <v>74</v>
      </c>
      <c r="M93" s="90" t="s">
        <v>3</v>
      </c>
      <c r="N93" s="84">
        <v>152</v>
      </c>
      <c r="O93" s="84">
        <v>152</v>
      </c>
      <c r="P93" s="84">
        <v>192</v>
      </c>
      <c r="Q93" s="84">
        <v>160</v>
      </c>
      <c r="R93" s="84">
        <v>152</v>
      </c>
      <c r="S93" s="84">
        <v>200</v>
      </c>
      <c r="T93" s="84">
        <v>152</v>
      </c>
      <c r="U93" s="84">
        <v>192</v>
      </c>
      <c r="V93" s="84">
        <v>152</v>
      </c>
      <c r="W93" s="84">
        <v>152</v>
      </c>
      <c r="X93" s="84">
        <v>192</v>
      </c>
      <c r="Y93" s="84">
        <v>152</v>
      </c>
      <c r="Z93" s="38"/>
      <c r="AA93" s="37">
        <f t="shared" si="66"/>
        <v>16720</v>
      </c>
      <c r="AB93" s="37">
        <f t="shared" si="67"/>
        <v>16720</v>
      </c>
      <c r="AC93" s="37">
        <f t="shared" si="68"/>
        <v>21120</v>
      </c>
      <c r="AD93" s="37">
        <f t="shared" si="69"/>
        <v>17600</v>
      </c>
      <c r="AE93" s="37">
        <f t="shared" si="70"/>
        <v>16720</v>
      </c>
      <c r="AF93" s="37">
        <f t="shared" si="71"/>
        <v>22000</v>
      </c>
      <c r="AG93" s="37">
        <f t="shared" si="72"/>
        <v>16720</v>
      </c>
      <c r="AH93" s="37">
        <f t="shared" si="73"/>
        <v>21120</v>
      </c>
      <c r="AI93" s="37">
        <f t="shared" si="74"/>
        <v>16720</v>
      </c>
      <c r="AJ93" s="37">
        <f t="shared" si="75"/>
        <v>16720</v>
      </c>
      <c r="AK93" s="37">
        <f t="shared" si="76"/>
        <v>21120</v>
      </c>
      <c r="AL93" s="37">
        <f t="shared" si="77"/>
        <v>16720</v>
      </c>
      <c r="AM93" s="120">
        <v>1</v>
      </c>
    </row>
    <row r="94" spans="1:39" s="91" customFormat="1" ht="15.6">
      <c r="A94" s="87" t="s">
        <v>92</v>
      </c>
      <c r="B94" s="92" t="s">
        <v>121</v>
      </c>
      <c r="C94" s="38" t="s">
        <v>685</v>
      </c>
      <c r="D94" s="38" t="s">
        <v>869</v>
      </c>
      <c r="E94" s="38" t="s">
        <v>231</v>
      </c>
      <c r="F94" s="83" t="s">
        <v>29</v>
      </c>
      <c r="G94" s="89" t="s">
        <v>39</v>
      </c>
      <c r="H94" s="89">
        <v>9</v>
      </c>
      <c r="I94" s="108">
        <v>41</v>
      </c>
      <c r="J94" s="88" t="s">
        <v>45</v>
      </c>
      <c r="K94" s="38" t="s">
        <v>149</v>
      </c>
      <c r="L94" s="88" t="s">
        <v>34</v>
      </c>
      <c r="M94" s="90" t="s">
        <v>1</v>
      </c>
      <c r="N94" s="84">
        <v>165.87</v>
      </c>
      <c r="O94" s="84">
        <v>165.87</v>
      </c>
      <c r="P94" s="84">
        <v>209.51999999999998</v>
      </c>
      <c r="Q94" s="84">
        <v>174.6</v>
      </c>
      <c r="R94" s="84">
        <v>165.87</v>
      </c>
      <c r="S94" s="84">
        <v>200.79</v>
      </c>
      <c r="T94" s="84">
        <v>174.6</v>
      </c>
      <c r="U94" s="84">
        <v>218.25</v>
      </c>
      <c r="V94" s="84">
        <v>165.87</v>
      </c>
      <c r="W94" s="84">
        <v>157.13999999999999</v>
      </c>
      <c r="X94" s="84">
        <v>218.25</v>
      </c>
      <c r="Y94" s="84">
        <v>165.87</v>
      </c>
      <c r="Z94" s="38"/>
      <c r="AA94" s="37">
        <f t="shared" si="66"/>
        <v>6800.67</v>
      </c>
      <c r="AB94" s="37">
        <f t="shared" si="67"/>
        <v>6800.67</v>
      </c>
      <c r="AC94" s="37">
        <f t="shared" si="68"/>
        <v>8590.32</v>
      </c>
      <c r="AD94" s="37">
        <f t="shared" si="69"/>
        <v>7158.5999999999995</v>
      </c>
      <c r="AE94" s="37">
        <f t="shared" si="70"/>
        <v>6800.67</v>
      </c>
      <c r="AF94" s="37">
        <f t="shared" si="71"/>
        <v>8232.39</v>
      </c>
      <c r="AG94" s="37">
        <f t="shared" si="72"/>
        <v>7158.5999999999995</v>
      </c>
      <c r="AH94" s="37">
        <f t="shared" si="73"/>
        <v>8948.25</v>
      </c>
      <c r="AI94" s="37">
        <f t="shared" si="74"/>
        <v>6800.67</v>
      </c>
      <c r="AJ94" s="37">
        <f t="shared" si="75"/>
        <v>6442.74</v>
      </c>
      <c r="AK94" s="37">
        <f t="shared" si="76"/>
        <v>8948.25</v>
      </c>
      <c r="AL94" s="37">
        <f t="shared" si="77"/>
        <v>6800.67</v>
      </c>
      <c r="AM94" s="120">
        <v>1</v>
      </c>
    </row>
    <row r="95" spans="1:39" s="91" customFormat="1" ht="15.6">
      <c r="A95" s="87" t="s">
        <v>92</v>
      </c>
      <c r="B95" s="92" t="s">
        <v>121</v>
      </c>
      <c r="C95" s="38" t="s">
        <v>230</v>
      </c>
      <c r="D95" s="38" t="s">
        <v>870</v>
      </c>
      <c r="E95" s="38" t="s">
        <v>231</v>
      </c>
      <c r="F95" s="83" t="s">
        <v>29</v>
      </c>
      <c r="G95" s="83" t="s">
        <v>41</v>
      </c>
      <c r="H95" s="89" t="s">
        <v>36</v>
      </c>
      <c r="I95" s="108">
        <v>29.5</v>
      </c>
      <c r="J95" s="88" t="s">
        <v>45</v>
      </c>
      <c r="K95" s="38" t="s">
        <v>147</v>
      </c>
      <c r="L95" s="38" t="s">
        <v>34</v>
      </c>
      <c r="M95" s="90" t="s">
        <v>1</v>
      </c>
      <c r="N95" s="84">
        <v>165.87</v>
      </c>
      <c r="O95" s="84">
        <v>165.87</v>
      </c>
      <c r="P95" s="84">
        <v>209.51999999999998</v>
      </c>
      <c r="Q95" s="84">
        <v>174.6</v>
      </c>
      <c r="R95" s="84">
        <v>165.87</v>
      </c>
      <c r="S95" s="84">
        <v>200.79</v>
      </c>
      <c r="T95" s="84">
        <v>174.6</v>
      </c>
      <c r="U95" s="84">
        <v>218.25</v>
      </c>
      <c r="V95" s="84">
        <v>165.87</v>
      </c>
      <c r="W95" s="84">
        <v>157.13999999999999</v>
      </c>
      <c r="X95" s="84">
        <v>218.25</v>
      </c>
      <c r="Y95" s="84">
        <v>165.87</v>
      </c>
      <c r="Z95" s="38"/>
      <c r="AA95" s="37">
        <f t="shared" si="66"/>
        <v>4893.165</v>
      </c>
      <c r="AB95" s="37">
        <f t="shared" si="67"/>
        <v>4893.165</v>
      </c>
      <c r="AC95" s="37">
        <f t="shared" si="68"/>
        <v>6180.8399999999992</v>
      </c>
      <c r="AD95" s="37">
        <f t="shared" si="69"/>
        <v>5150.7</v>
      </c>
      <c r="AE95" s="37">
        <f t="shared" si="70"/>
        <v>4893.165</v>
      </c>
      <c r="AF95" s="37">
        <f t="shared" si="71"/>
        <v>5923.3049999999994</v>
      </c>
      <c r="AG95" s="37">
        <f t="shared" si="72"/>
        <v>5150.7</v>
      </c>
      <c r="AH95" s="37">
        <f t="shared" si="73"/>
        <v>6438.375</v>
      </c>
      <c r="AI95" s="37">
        <f t="shared" si="74"/>
        <v>4893.165</v>
      </c>
      <c r="AJ95" s="37">
        <f t="shared" si="75"/>
        <v>4635.6299999999992</v>
      </c>
      <c r="AK95" s="37">
        <f t="shared" si="76"/>
        <v>6438.375</v>
      </c>
      <c r="AL95" s="37">
        <f t="shared" si="77"/>
        <v>4893.165</v>
      </c>
      <c r="AM95" s="120">
        <v>1</v>
      </c>
    </row>
    <row r="96" spans="1:39" s="91" customFormat="1" ht="15.6">
      <c r="A96" s="87" t="s">
        <v>92</v>
      </c>
      <c r="B96" s="92" t="s">
        <v>121</v>
      </c>
      <c r="C96" s="38" t="s">
        <v>598</v>
      </c>
      <c r="D96" s="38" t="s">
        <v>871</v>
      </c>
      <c r="E96" s="38" t="s">
        <v>599</v>
      </c>
      <c r="F96" s="83" t="s">
        <v>29</v>
      </c>
      <c r="G96" s="83" t="s">
        <v>49</v>
      </c>
      <c r="H96" s="89" t="s">
        <v>36</v>
      </c>
      <c r="I96" s="108">
        <v>24.5</v>
      </c>
      <c r="J96" s="88" t="s">
        <v>45</v>
      </c>
      <c r="K96" s="38" t="s">
        <v>147</v>
      </c>
      <c r="L96" s="38" t="s">
        <v>34</v>
      </c>
      <c r="M96" s="90" t="s">
        <v>1</v>
      </c>
      <c r="N96" s="84">
        <v>165.87</v>
      </c>
      <c r="O96" s="84">
        <v>165.87</v>
      </c>
      <c r="P96" s="84">
        <v>209.51999999999998</v>
      </c>
      <c r="Q96" s="84">
        <v>174.6</v>
      </c>
      <c r="R96" s="84">
        <v>165.87</v>
      </c>
      <c r="S96" s="84">
        <v>200.79</v>
      </c>
      <c r="T96" s="84">
        <v>174.6</v>
      </c>
      <c r="U96" s="84">
        <v>218.25</v>
      </c>
      <c r="V96" s="84">
        <v>165.87</v>
      </c>
      <c r="W96" s="84">
        <v>157.13999999999999</v>
      </c>
      <c r="X96" s="84">
        <v>218.25</v>
      </c>
      <c r="Y96" s="84">
        <v>165.87</v>
      </c>
      <c r="Z96" s="38"/>
      <c r="AA96" s="37">
        <f t="shared" si="66"/>
        <v>4063.8150000000001</v>
      </c>
      <c r="AB96" s="37">
        <f t="shared" si="67"/>
        <v>4063.8150000000001</v>
      </c>
      <c r="AC96" s="37">
        <f t="shared" si="68"/>
        <v>5133.24</v>
      </c>
      <c r="AD96" s="37">
        <f t="shared" si="69"/>
        <v>4277.7</v>
      </c>
      <c r="AE96" s="37">
        <f t="shared" si="70"/>
        <v>4063.8150000000001</v>
      </c>
      <c r="AF96" s="37">
        <f t="shared" si="71"/>
        <v>4919.3549999999996</v>
      </c>
      <c r="AG96" s="37">
        <f t="shared" si="72"/>
        <v>4277.7</v>
      </c>
      <c r="AH96" s="37">
        <f t="shared" si="73"/>
        <v>5347.125</v>
      </c>
      <c r="AI96" s="37">
        <f t="shared" si="74"/>
        <v>4063.8150000000001</v>
      </c>
      <c r="AJ96" s="37">
        <f t="shared" si="75"/>
        <v>3849.93</v>
      </c>
      <c r="AK96" s="37">
        <f t="shared" si="76"/>
        <v>5347.125</v>
      </c>
      <c r="AL96" s="37">
        <f t="shared" si="77"/>
        <v>4063.8150000000001</v>
      </c>
      <c r="AM96" s="120">
        <v>1</v>
      </c>
    </row>
    <row r="97" spans="1:39" s="91" customFormat="1" ht="15.6">
      <c r="A97" s="87" t="s">
        <v>92</v>
      </c>
      <c r="B97" s="92" t="s">
        <v>121</v>
      </c>
      <c r="C97" s="38" t="s">
        <v>232</v>
      </c>
      <c r="D97" s="38" t="s">
        <v>790</v>
      </c>
      <c r="E97" s="38" t="s">
        <v>233</v>
      </c>
      <c r="F97" s="83" t="s">
        <v>29</v>
      </c>
      <c r="G97" s="89" t="s">
        <v>35</v>
      </c>
      <c r="H97" s="89" t="s">
        <v>36</v>
      </c>
      <c r="I97" s="108">
        <v>28.5</v>
      </c>
      <c r="J97" s="88" t="s">
        <v>45</v>
      </c>
      <c r="K97" s="38" t="s">
        <v>147</v>
      </c>
      <c r="L97" s="38" t="s">
        <v>34</v>
      </c>
      <c r="M97" s="90" t="s">
        <v>1</v>
      </c>
      <c r="N97" s="36">
        <v>174.6</v>
      </c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8" t="s">
        <v>675</v>
      </c>
      <c r="AA97" s="37">
        <f t="shared" si="66"/>
        <v>4976.0999999999995</v>
      </c>
      <c r="AB97" s="37">
        <f t="shared" si="67"/>
        <v>0</v>
      </c>
      <c r="AC97" s="37">
        <f t="shared" si="68"/>
        <v>0</v>
      </c>
      <c r="AD97" s="37">
        <f t="shared" si="69"/>
        <v>0</v>
      </c>
      <c r="AE97" s="37">
        <f t="shared" si="70"/>
        <v>0</v>
      </c>
      <c r="AF97" s="37">
        <f t="shared" si="71"/>
        <v>0</v>
      </c>
      <c r="AG97" s="37">
        <f t="shared" si="72"/>
        <v>0</v>
      </c>
      <c r="AH97" s="37">
        <f t="shared" si="73"/>
        <v>0</v>
      </c>
      <c r="AI97" s="37">
        <f t="shared" si="74"/>
        <v>0</v>
      </c>
      <c r="AJ97" s="37">
        <f t="shared" si="75"/>
        <v>0</v>
      </c>
      <c r="AK97" s="37">
        <f t="shared" si="76"/>
        <v>0</v>
      </c>
      <c r="AL97" s="37">
        <f t="shared" si="77"/>
        <v>0</v>
      </c>
      <c r="AM97" s="120">
        <v>1</v>
      </c>
    </row>
    <row r="98" spans="1:39" s="91" customFormat="1" ht="15.6">
      <c r="A98" s="87" t="s">
        <v>92</v>
      </c>
      <c r="B98" s="92" t="s">
        <v>121</v>
      </c>
      <c r="C98" s="38" t="s">
        <v>679</v>
      </c>
      <c r="D98" s="38" t="s">
        <v>872</v>
      </c>
      <c r="E98" s="38" t="s">
        <v>677</v>
      </c>
      <c r="F98" s="83" t="s">
        <v>29</v>
      </c>
      <c r="G98" s="89" t="s">
        <v>100</v>
      </c>
      <c r="H98" s="89" t="s">
        <v>31</v>
      </c>
      <c r="I98" s="108">
        <v>32</v>
      </c>
      <c r="J98" s="88" t="s">
        <v>45</v>
      </c>
      <c r="K98" s="38" t="s">
        <v>147</v>
      </c>
      <c r="L98" s="38" t="s">
        <v>34</v>
      </c>
      <c r="M98" s="90" t="s">
        <v>1</v>
      </c>
      <c r="N98" s="84">
        <v>121</v>
      </c>
      <c r="O98" s="84">
        <v>165.87</v>
      </c>
      <c r="P98" s="84">
        <v>170</v>
      </c>
      <c r="Q98" s="84"/>
      <c r="R98" s="84"/>
      <c r="S98" s="84"/>
      <c r="T98" s="84"/>
      <c r="U98" s="84"/>
      <c r="V98" s="84"/>
      <c r="W98" s="84"/>
      <c r="X98" s="84"/>
      <c r="Y98" s="84"/>
      <c r="Z98" s="38" t="s">
        <v>1074</v>
      </c>
      <c r="AA98" s="37">
        <f t="shared" si="66"/>
        <v>3872</v>
      </c>
      <c r="AB98" s="37">
        <f t="shared" si="67"/>
        <v>5307.84</v>
      </c>
      <c r="AC98" s="37">
        <f t="shared" si="68"/>
        <v>5440</v>
      </c>
      <c r="AD98" s="37">
        <f t="shared" si="69"/>
        <v>0</v>
      </c>
      <c r="AE98" s="37">
        <f t="shared" si="70"/>
        <v>0</v>
      </c>
      <c r="AF98" s="37">
        <f t="shared" si="71"/>
        <v>0</v>
      </c>
      <c r="AG98" s="37">
        <f t="shared" si="72"/>
        <v>0</v>
      </c>
      <c r="AH98" s="37">
        <f t="shared" si="73"/>
        <v>0</v>
      </c>
      <c r="AI98" s="37">
        <f t="shared" si="74"/>
        <v>0</v>
      </c>
      <c r="AJ98" s="37">
        <f t="shared" si="75"/>
        <v>0</v>
      </c>
      <c r="AK98" s="37">
        <f t="shared" si="76"/>
        <v>0</v>
      </c>
      <c r="AL98" s="37">
        <f t="shared" si="77"/>
        <v>0</v>
      </c>
      <c r="AM98" s="120">
        <v>1</v>
      </c>
    </row>
    <row r="99" spans="1:39" s="91" customFormat="1" ht="15.6">
      <c r="A99" s="87" t="s">
        <v>92</v>
      </c>
      <c r="B99" s="92" t="s">
        <v>121</v>
      </c>
      <c r="C99" s="38" t="s">
        <v>1198</v>
      </c>
      <c r="D99" s="38" t="s">
        <v>1197</v>
      </c>
      <c r="E99" s="38" t="s">
        <v>1199</v>
      </c>
      <c r="F99" s="83" t="s">
        <v>29</v>
      </c>
      <c r="G99" s="89" t="s">
        <v>41</v>
      </c>
      <c r="H99" s="89" t="s">
        <v>31</v>
      </c>
      <c r="I99" s="108">
        <v>30.5</v>
      </c>
      <c r="J99" s="88" t="s">
        <v>45</v>
      </c>
      <c r="K99" s="38" t="s">
        <v>147</v>
      </c>
      <c r="L99" s="38" t="s">
        <v>34</v>
      </c>
      <c r="M99" s="90" t="s">
        <v>1</v>
      </c>
      <c r="N99" s="84"/>
      <c r="O99" s="84"/>
      <c r="P99" s="36"/>
      <c r="Q99" s="36"/>
      <c r="R99" s="36"/>
      <c r="S99" s="36">
        <v>209.51999999999998</v>
      </c>
      <c r="T99" s="36">
        <v>174.6</v>
      </c>
      <c r="U99" s="36">
        <v>218.25</v>
      </c>
      <c r="V99" s="36">
        <v>165.87</v>
      </c>
      <c r="W99" s="36">
        <v>157.13999999999999</v>
      </c>
      <c r="X99" s="36">
        <v>209.51999999999998</v>
      </c>
      <c r="Y99" s="36">
        <v>165.87</v>
      </c>
      <c r="Z99" s="38"/>
      <c r="AA99" s="37">
        <f t="shared" ref="AA99" si="103">$I99*N99</f>
        <v>0</v>
      </c>
      <c r="AB99" s="37">
        <f t="shared" ref="AB99" si="104">$I99*O99</f>
        <v>0</v>
      </c>
      <c r="AC99" s="37">
        <f t="shared" ref="AC99" si="105">$I99*P99</f>
        <v>0</v>
      </c>
      <c r="AD99" s="37">
        <f t="shared" ref="AD99" si="106">$I99*Q99</f>
        <v>0</v>
      </c>
      <c r="AE99" s="37">
        <f t="shared" ref="AE99" si="107">$I99*R99</f>
        <v>0</v>
      </c>
      <c r="AF99" s="37">
        <f t="shared" ref="AF99" si="108">$I99*S99</f>
        <v>6390.36</v>
      </c>
      <c r="AG99" s="37">
        <f t="shared" ref="AG99" si="109">$I99*T99</f>
        <v>5325.3</v>
      </c>
      <c r="AH99" s="37">
        <f t="shared" ref="AH99" si="110">$I99*U99</f>
        <v>6656.625</v>
      </c>
      <c r="AI99" s="37">
        <f t="shared" ref="AI99" si="111">$I99*V99</f>
        <v>5059.0349999999999</v>
      </c>
      <c r="AJ99" s="37">
        <f t="shared" ref="AJ99" si="112">$I99*W99</f>
        <v>4792.7699999999995</v>
      </c>
      <c r="AK99" s="37">
        <f t="shared" ref="AK99" si="113">$I99*X99</f>
        <v>6390.36</v>
      </c>
      <c r="AL99" s="37">
        <f t="shared" ref="AL99" si="114">$I99*Y99</f>
        <v>5059.0349999999999</v>
      </c>
      <c r="AM99" s="120">
        <v>1</v>
      </c>
    </row>
    <row r="100" spans="1:39" s="91" customFormat="1" ht="15.6">
      <c r="A100" s="87" t="s">
        <v>92</v>
      </c>
      <c r="B100" s="92" t="s">
        <v>121</v>
      </c>
      <c r="C100" s="38" t="s">
        <v>1076</v>
      </c>
      <c r="D100" s="38" t="s">
        <v>1077</v>
      </c>
      <c r="E100" s="38" t="s">
        <v>1075</v>
      </c>
      <c r="F100" s="83" t="s">
        <v>29</v>
      </c>
      <c r="G100" s="89" t="s">
        <v>50</v>
      </c>
      <c r="H100" s="89" t="s">
        <v>31</v>
      </c>
      <c r="I100" s="108">
        <v>28.5</v>
      </c>
      <c r="J100" s="88" t="s">
        <v>45</v>
      </c>
      <c r="K100" s="38" t="s">
        <v>147</v>
      </c>
      <c r="L100" s="38" t="s">
        <v>34</v>
      </c>
      <c r="M100" s="90" t="s">
        <v>1</v>
      </c>
      <c r="N100" s="84"/>
      <c r="O100" s="84"/>
      <c r="P100" s="36">
        <v>200.79</v>
      </c>
      <c r="Q100" s="36">
        <v>174.6</v>
      </c>
      <c r="R100" s="36">
        <v>165.87</v>
      </c>
      <c r="S100" s="36">
        <v>209.51999999999998</v>
      </c>
      <c r="T100" s="36">
        <v>174.6</v>
      </c>
      <c r="U100" s="36">
        <v>218.25</v>
      </c>
      <c r="V100" s="36">
        <v>165.87</v>
      </c>
      <c r="W100" s="36">
        <v>157.13999999999999</v>
      </c>
      <c r="X100" s="36">
        <v>209.51999999999998</v>
      </c>
      <c r="Y100" s="36">
        <v>165.87</v>
      </c>
      <c r="Z100" s="38"/>
      <c r="AA100" s="37">
        <f t="shared" si="66"/>
        <v>0</v>
      </c>
      <c r="AB100" s="37">
        <f t="shared" si="67"/>
        <v>0</v>
      </c>
      <c r="AC100" s="37">
        <f t="shared" si="68"/>
        <v>5722.5149999999994</v>
      </c>
      <c r="AD100" s="37">
        <f t="shared" si="69"/>
        <v>4976.0999999999995</v>
      </c>
      <c r="AE100" s="37">
        <f t="shared" si="70"/>
        <v>4727.2950000000001</v>
      </c>
      <c r="AF100" s="37">
        <f t="shared" si="71"/>
        <v>5971.32</v>
      </c>
      <c r="AG100" s="37">
        <f t="shared" si="72"/>
        <v>4976.0999999999995</v>
      </c>
      <c r="AH100" s="37">
        <f t="shared" si="73"/>
        <v>6220.125</v>
      </c>
      <c r="AI100" s="37">
        <f t="shared" si="74"/>
        <v>4727.2950000000001</v>
      </c>
      <c r="AJ100" s="37">
        <f t="shared" si="75"/>
        <v>4478.49</v>
      </c>
      <c r="AK100" s="37">
        <f t="shared" si="76"/>
        <v>5971.32</v>
      </c>
      <c r="AL100" s="37">
        <f t="shared" si="77"/>
        <v>4727.2950000000001</v>
      </c>
      <c r="AM100" s="120">
        <v>1</v>
      </c>
    </row>
    <row r="101" spans="1:39" s="91" customFormat="1" ht="15.6">
      <c r="A101" s="87" t="s">
        <v>92</v>
      </c>
      <c r="B101" s="92" t="s">
        <v>121</v>
      </c>
      <c r="C101" s="38" t="s">
        <v>683</v>
      </c>
      <c r="D101" s="38" t="s">
        <v>873</v>
      </c>
      <c r="E101" s="38" t="s">
        <v>681</v>
      </c>
      <c r="F101" s="83" t="s">
        <v>29</v>
      </c>
      <c r="G101" s="89" t="s">
        <v>35</v>
      </c>
      <c r="H101" s="89" t="s">
        <v>36</v>
      </c>
      <c r="I101" s="108">
        <v>24.5</v>
      </c>
      <c r="J101" s="88" t="s">
        <v>45</v>
      </c>
      <c r="K101" s="38" t="s">
        <v>147</v>
      </c>
      <c r="L101" s="38" t="s">
        <v>34</v>
      </c>
      <c r="M101" s="90" t="s">
        <v>1</v>
      </c>
      <c r="N101" s="36">
        <v>174.6</v>
      </c>
      <c r="O101" s="36">
        <v>165.87</v>
      </c>
      <c r="P101" s="36">
        <v>200.79</v>
      </c>
      <c r="Q101" s="36">
        <v>174.6</v>
      </c>
      <c r="R101" s="36">
        <v>165.87</v>
      </c>
      <c r="S101" s="36">
        <v>209.51999999999998</v>
      </c>
      <c r="T101" s="36">
        <v>174.6</v>
      </c>
      <c r="U101" s="36">
        <v>218.25</v>
      </c>
      <c r="V101" s="36">
        <v>165.87</v>
      </c>
      <c r="W101" s="36">
        <v>157.13999999999999</v>
      </c>
      <c r="X101" s="36">
        <v>209.51999999999998</v>
      </c>
      <c r="Y101" s="36">
        <v>165.87</v>
      </c>
      <c r="Z101" s="38"/>
      <c r="AA101" s="37">
        <f t="shared" si="66"/>
        <v>4277.7</v>
      </c>
      <c r="AB101" s="37">
        <f t="shared" si="67"/>
        <v>4063.8150000000001</v>
      </c>
      <c r="AC101" s="37">
        <f t="shared" si="68"/>
        <v>4919.3549999999996</v>
      </c>
      <c r="AD101" s="37">
        <f t="shared" si="69"/>
        <v>4277.7</v>
      </c>
      <c r="AE101" s="37">
        <f t="shared" si="70"/>
        <v>4063.8150000000001</v>
      </c>
      <c r="AF101" s="37">
        <f t="shared" si="71"/>
        <v>5133.24</v>
      </c>
      <c r="AG101" s="37">
        <f t="shared" si="72"/>
        <v>4277.7</v>
      </c>
      <c r="AH101" s="37">
        <f t="shared" si="73"/>
        <v>5347.125</v>
      </c>
      <c r="AI101" s="37">
        <f t="shared" si="74"/>
        <v>4063.8150000000001</v>
      </c>
      <c r="AJ101" s="37">
        <f t="shared" si="75"/>
        <v>3849.93</v>
      </c>
      <c r="AK101" s="37">
        <f t="shared" si="76"/>
        <v>5133.24</v>
      </c>
      <c r="AL101" s="37">
        <f t="shared" si="77"/>
        <v>4063.8150000000001</v>
      </c>
      <c r="AM101" s="120">
        <v>1</v>
      </c>
    </row>
    <row r="102" spans="1:39" s="91" customFormat="1" ht="15.6">
      <c r="A102" s="87" t="s">
        <v>92</v>
      </c>
      <c r="B102" s="92" t="s">
        <v>121</v>
      </c>
      <c r="C102" s="38" t="s">
        <v>684</v>
      </c>
      <c r="D102" s="38" t="s">
        <v>874</v>
      </c>
      <c r="E102" s="38" t="s">
        <v>682</v>
      </c>
      <c r="F102" s="83" t="s">
        <v>29</v>
      </c>
      <c r="G102" s="89" t="s">
        <v>39</v>
      </c>
      <c r="H102" s="89" t="s">
        <v>31</v>
      </c>
      <c r="I102" s="108">
        <v>30.5</v>
      </c>
      <c r="J102" s="88" t="s">
        <v>45</v>
      </c>
      <c r="K102" s="38" t="s">
        <v>147</v>
      </c>
      <c r="L102" s="38" t="s">
        <v>34</v>
      </c>
      <c r="M102" s="90" t="s">
        <v>1</v>
      </c>
      <c r="N102" s="84">
        <v>165.87</v>
      </c>
      <c r="O102" s="84">
        <v>165.87</v>
      </c>
      <c r="P102" s="84">
        <v>209.51999999999998</v>
      </c>
      <c r="Q102" s="84">
        <v>174.6</v>
      </c>
      <c r="R102" s="84">
        <v>165.87</v>
      </c>
      <c r="S102" s="84">
        <v>200.79</v>
      </c>
      <c r="T102" s="84">
        <v>174.6</v>
      </c>
      <c r="U102" s="84">
        <v>218.25</v>
      </c>
      <c r="V102" s="84">
        <v>165.87</v>
      </c>
      <c r="W102" s="84">
        <v>157.13999999999999</v>
      </c>
      <c r="X102" s="84">
        <v>218.25</v>
      </c>
      <c r="Y102" s="84">
        <v>165.87</v>
      </c>
      <c r="Z102" s="38"/>
      <c r="AA102" s="37">
        <f t="shared" si="66"/>
        <v>5059.0349999999999</v>
      </c>
      <c r="AB102" s="37">
        <f t="shared" si="67"/>
        <v>5059.0349999999999</v>
      </c>
      <c r="AC102" s="37">
        <f t="shared" si="68"/>
        <v>6390.36</v>
      </c>
      <c r="AD102" s="37">
        <f t="shared" si="69"/>
        <v>5325.3</v>
      </c>
      <c r="AE102" s="37">
        <f t="shared" si="70"/>
        <v>5059.0349999999999</v>
      </c>
      <c r="AF102" s="37">
        <f t="shared" si="71"/>
        <v>6124.0949999999993</v>
      </c>
      <c r="AG102" s="37">
        <f t="shared" si="72"/>
        <v>5325.3</v>
      </c>
      <c r="AH102" s="37">
        <f t="shared" si="73"/>
        <v>6656.625</v>
      </c>
      <c r="AI102" s="37">
        <f t="shared" si="74"/>
        <v>5059.0349999999999</v>
      </c>
      <c r="AJ102" s="37">
        <f t="shared" si="75"/>
        <v>4792.7699999999995</v>
      </c>
      <c r="AK102" s="37">
        <f t="shared" si="76"/>
        <v>6656.625</v>
      </c>
      <c r="AL102" s="37">
        <f t="shared" si="77"/>
        <v>5059.0349999999999</v>
      </c>
      <c r="AM102" s="120">
        <v>1</v>
      </c>
    </row>
    <row r="103" spans="1:39" s="91" customFormat="1" ht="15.6">
      <c r="A103" s="87" t="s">
        <v>92</v>
      </c>
      <c r="B103" s="92" t="s">
        <v>121</v>
      </c>
      <c r="C103" s="38" t="s">
        <v>678</v>
      </c>
      <c r="D103" s="38" t="s">
        <v>875</v>
      </c>
      <c r="E103" s="38" t="s">
        <v>680</v>
      </c>
      <c r="F103" s="83" t="s">
        <v>29</v>
      </c>
      <c r="G103" s="89" t="s">
        <v>100</v>
      </c>
      <c r="H103" s="89">
        <v>8</v>
      </c>
      <c r="I103" s="108">
        <v>41</v>
      </c>
      <c r="J103" s="88" t="s">
        <v>45</v>
      </c>
      <c r="K103" s="38" t="s">
        <v>147</v>
      </c>
      <c r="L103" s="38" t="s">
        <v>34</v>
      </c>
      <c r="M103" s="90" t="s">
        <v>1</v>
      </c>
      <c r="N103" s="84">
        <v>121</v>
      </c>
      <c r="O103" s="84">
        <v>165.87</v>
      </c>
      <c r="P103" s="84">
        <v>209.51999999999998</v>
      </c>
      <c r="Q103" s="84">
        <v>174.6</v>
      </c>
      <c r="R103" s="84">
        <v>140</v>
      </c>
      <c r="S103" s="84">
        <v>200.79</v>
      </c>
      <c r="T103" s="84">
        <v>174.6</v>
      </c>
      <c r="U103" s="84">
        <v>218.25</v>
      </c>
      <c r="V103" s="84">
        <v>165.87</v>
      </c>
      <c r="W103" s="84">
        <v>157.13999999999999</v>
      </c>
      <c r="X103" s="84">
        <v>218.25</v>
      </c>
      <c r="Y103" s="84">
        <v>165.87</v>
      </c>
      <c r="Z103" s="38" t="s">
        <v>676</v>
      </c>
      <c r="AA103" s="37">
        <f t="shared" si="66"/>
        <v>4961</v>
      </c>
      <c r="AB103" s="37">
        <f t="shared" si="67"/>
        <v>6800.67</v>
      </c>
      <c r="AC103" s="37">
        <f t="shared" si="68"/>
        <v>8590.32</v>
      </c>
      <c r="AD103" s="37">
        <f t="shared" si="69"/>
        <v>7158.5999999999995</v>
      </c>
      <c r="AE103" s="37">
        <f t="shared" si="70"/>
        <v>5740</v>
      </c>
      <c r="AF103" s="37">
        <f t="shared" si="71"/>
        <v>8232.39</v>
      </c>
      <c r="AG103" s="37">
        <f t="shared" si="72"/>
        <v>7158.5999999999995</v>
      </c>
      <c r="AH103" s="37">
        <f t="shared" si="73"/>
        <v>8948.25</v>
      </c>
      <c r="AI103" s="37">
        <f t="shared" si="74"/>
        <v>6800.67</v>
      </c>
      <c r="AJ103" s="37">
        <f t="shared" si="75"/>
        <v>6442.74</v>
      </c>
      <c r="AK103" s="37">
        <f t="shared" si="76"/>
        <v>8948.25</v>
      </c>
      <c r="AL103" s="37">
        <f t="shared" si="77"/>
        <v>6800.67</v>
      </c>
      <c r="AM103" s="120">
        <v>1</v>
      </c>
    </row>
    <row r="104" spans="1:39" s="91" customFormat="1" ht="15.6">
      <c r="A104" s="87" t="s">
        <v>92</v>
      </c>
      <c r="B104" s="92" t="s">
        <v>121</v>
      </c>
      <c r="C104" s="38" t="s">
        <v>234</v>
      </c>
      <c r="D104" s="38" t="s">
        <v>876</v>
      </c>
      <c r="E104" s="38" t="s">
        <v>235</v>
      </c>
      <c r="F104" s="83" t="s">
        <v>112</v>
      </c>
      <c r="G104" s="89" t="s">
        <v>73</v>
      </c>
      <c r="H104" s="83">
        <v>7</v>
      </c>
      <c r="I104" s="108">
        <v>112</v>
      </c>
      <c r="J104" s="88" t="s">
        <v>473</v>
      </c>
      <c r="K104" s="38" t="s">
        <v>126</v>
      </c>
      <c r="L104" s="38" t="s">
        <v>74</v>
      </c>
      <c r="M104" s="90" t="s">
        <v>2</v>
      </c>
      <c r="N104" s="84">
        <v>152</v>
      </c>
      <c r="O104" s="84">
        <v>152</v>
      </c>
      <c r="P104" s="84">
        <v>192</v>
      </c>
      <c r="Q104" s="84">
        <v>160</v>
      </c>
      <c r="R104" s="84">
        <v>152</v>
      </c>
      <c r="S104" s="84">
        <v>200</v>
      </c>
      <c r="T104" s="84">
        <v>152</v>
      </c>
      <c r="U104" s="84">
        <v>192</v>
      </c>
      <c r="V104" s="84">
        <v>152</v>
      </c>
      <c r="W104" s="84">
        <v>152</v>
      </c>
      <c r="X104" s="84">
        <v>192</v>
      </c>
      <c r="Y104" s="84">
        <v>152</v>
      </c>
      <c r="Z104" s="38"/>
      <c r="AA104" s="37">
        <f t="shared" si="66"/>
        <v>17024</v>
      </c>
      <c r="AB104" s="37">
        <f t="shared" si="67"/>
        <v>17024</v>
      </c>
      <c r="AC104" s="37">
        <f t="shared" si="68"/>
        <v>21504</v>
      </c>
      <c r="AD104" s="37">
        <f t="shared" si="69"/>
        <v>17920</v>
      </c>
      <c r="AE104" s="37">
        <f t="shared" si="70"/>
        <v>17024</v>
      </c>
      <c r="AF104" s="37">
        <f t="shared" si="71"/>
        <v>22400</v>
      </c>
      <c r="AG104" s="37">
        <f t="shared" si="72"/>
        <v>17024</v>
      </c>
      <c r="AH104" s="37">
        <f t="shared" si="73"/>
        <v>21504</v>
      </c>
      <c r="AI104" s="37">
        <f t="shared" si="74"/>
        <v>17024</v>
      </c>
      <c r="AJ104" s="37">
        <f t="shared" si="75"/>
        <v>17024</v>
      </c>
      <c r="AK104" s="37">
        <f t="shared" si="76"/>
        <v>21504</v>
      </c>
      <c r="AL104" s="37">
        <f t="shared" si="77"/>
        <v>17024</v>
      </c>
      <c r="AM104" s="120">
        <v>1</v>
      </c>
    </row>
    <row r="105" spans="1:39" s="91" customFormat="1" ht="15.6">
      <c r="A105" s="87" t="s">
        <v>92</v>
      </c>
      <c r="B105" s="92" t="s">
        <v>121</v>
      </c>
      <c r="C105" s="88" t="s">
        <v>603</v>
      </c>
      <c r="D105" s="88" t="s">
        <v>877</v>
      </c>
      <c r="E105" s="38" t="s">
        <v>591</v>
      </c>
      <c r="F105" s="89" t="s">
        <v>29</v>
      </c>
      <c r="G105" s="89" t="s">
        <v>49</v>
      </c>
      <c r="H105" s="89" t="s">
        <v>31</v>
      </c>
      <c r="I105" s="108">
        <v>36.5</v>
      </c>
      <c r="J105" s="88" t="s">
        <v>91</v>
      </c>
      <c r="K105" s="38" t="s">
        <v>127</v>
      </c>
      <c r="L105" s="88" t="s">
        <v>34</v>
      </c>
      <c r="M105" s="90" t="s">
        <v>3</v>
      </c>
      <c r="N105" s="84">
        <v>166.84</v>
      </c>
      <c r="O105" s="84">
        <v>166.84</v>
      </c>
      <c r="P105" s="84">
        <v>210.48999999999998</v>
      </c>
      <c r="Q105" s="84">
        <v>166.84</v>
      </c>
      <c r="R105" s="84">
        <v>166.84</v>
      </c>
      <c r="S105" s="84">
        <v>202.73</v>
      </c>
      <c r="T105" s="84">
        <v>174.6</v>
      </c>
      <c r="U105" s="84">
        <v>218.25</v>
      </c>
      <c r="V105" s="84">
        <v>166.84</v>
      </c>
      <c r="W105" s="84">
        <v>159.07999999999998</v>
      </c>
      <c r="X105" s="84">
        <v>210.48999999999998</v>
      </c>
      <c r="Y105" s="84">
        <v>166.84</v>
      </c>
      <c r="Z105" s="38"/>
      <c r="AA105" s="37">
        <f t="shared" si="66"/>
        <v>6089.66</v>
      </c>
      <c r="AB105" s="37">
        <f t="shared" si="67"/>
        <v>6089.66</v>
      </c>
      <c r="AC105" s="37">
        <f t="shared" si="68"/>
        <v>7682.8849999999993</v>
      </c>
      <c r="AD105" s="37">
        <f t="shared" si="69"/>
        <v>6089.66</v>
      </c>
      <c r="AE105" s="37">
        <f t="shared" si="70"/>
        <v>6089.66</v>
      </c>
      <c r="AF105" s="37">
        <f t="shared" si="71"/>
        <v>7399.6449999999995</v>
      </c>
      <c r="AG105" s="37">
        <f t="shared" si="72"/>
        <v>6372.9</v>
      </c>
      <c r="AH105" s="37">
        <f t="shared" si="73"/>
        <v>7966.125</v>
      </c>
      <c r="AI105" s="37">
        <f t="shared" si="74"/>
        <v>6089.66</v>
      </c>
      <c r="AJ105" s="37">
        <f t="shared" si="75"/>
        <v>5806.4199999999992</v>
      </c>
      <c r="AK105" s="37">
        <f t="shared" si="76"/>
        <v>7682.8849999999993</v>
      </c>
      <c r="AL105" s="37">
        <f t="shared" si="77"/>
        <v>6089.66</v>
      </c>
      <c r="AM105" s="120">
        <v>1</v>
      </c>
    </row>
    <row r="106" spans="1:39" s="91" customFormat="1" ht="15.6">
      <c r="A106" s="87" t="s">
        <v>92</v>
      </c>
      <c r="B106" s="92" t="s">
        <v>121</v>
      </c>
      <c r="C106" s="88" t="s">
        <v>236</v>
      </c>
      <c r="D106" s="88" t="s">
        <v>878</v>
      </c>
      <c r="E106" s="38" t="s">
        <v>237</v>
      </c>
      <c r="F106" s="89" t="s">
        <v>29</v>
      </c>
      <c r="G106" s="89" t="s">
        <v>35</v>
      </c>
      <c r="H106" s="89" t="s">
        <v>31</v>
      </c>
      <c r="I106" s="108">
        <v>30.5</v>
      </c>
      <c r="J106" s="88" t="s">
        <v>91</v>
      </c>
      <c r="K106" s="38" t="s">
        <v>127</v>
      </c>
      <c r="L106" s="38" t="s">
        <v>34</v>
      </c>
      <c r="M106" s="90" t="s">
        <v>1</v>
      </c>
      <c r="N106" s="36">
        <v>174.6</v>
      </c>
      <c r="O106" s="36">
        <v>165.87</v>
      </c>
      <c r="P106" s="36">
        <v>200.79</v>
      </c>
      <c r="Q106" s="36">
        <v>174.6</v>
      </c>
      <c r="R106" s="36">
        <v>165.87</v>
      </c>
      <c r="S106" s="36">
        <v>209.51999999999998</v>
      </c>
      <c r="T106" s="36">
        <v>174.6</v>
      </c>
      <c r="U106" s="36">
        <v>218.25</v>
      </c>
      <c r="V106" s="36">
        <v>165.87</v>
      </c>
      <c r="W106" s="36">
        <v>157.13999999999999</v>
      </c>
      <c r="X106" s="36">
        <v>209.51999999999998</v>
      </c>
      <c r="Y106" s="36">
        <v>165.87</v>
      </c>
      <c r="Z106" s="38"/>
      <c r="AA106" s="37">
        <f t="shared" si="66"/>
        <v>5325.3</v>
      </c>
      <c r="AB106" s="37">
        <f t="shared" si="67"/>
        <v>5059.0349999999999</v>
      </c>
      <c r="AC106" s="37">
        <f t="shared" si="68"/>
        <v>6124.0949999999993</v>
      </c>
      <c r="AD106" s="37">
        <f t="shared" si="69"/>
        <v>5325.3</v>
      </c>
      <c r="AE106" s="37">
        <f t="shared" si="70"/>
        <v>5059.0349999999999</v>
      </c>
      <c r="AF106" s="37">
        <f t="shared" si="71"/>
        <v>6390.36</v>
      </c>
      <c r="AG106" s="37">
        <f t="shared" si="72"/>
        <v>5325.3</v>
      </c>
      <c r="AH106" s="37">
        <f t="shared" si="73"/>
        <v>6656.625</v>
      </c>
      <c r="AI106" s="37">
        <f t="shared" si="74"/>
        <v>5059.0349999999999</v>
      </c>
      <c r="AJ106" s="37">
        <f t="shared" si="75"/>
        <v>4792.7699999999995</v>
      </c>
      <c r="AK106" s="37">
        <f t="shared" si="76"/>
        <v>6390.36</v>
      </c>
      <c r="AL106" s="37">
        <f t="shared" si="77"/>
        <v>5059.0349999999999</v>
      </c>
      <c r="AM106" s="120">
        <v>1</v>
      </c>
    </row>
    <row r="107" spans="1:39" s="91" customFormat="1" ht="15.6">
      <c r="A107" s="87" t="s">
        <v>92</v>
      </c>
      <c r="B107" s="92" t="s">
        <v>121</v>
      </c>
      <c r="C107" s="88" t="s">
        <v>1089</v>
      </c>
      <c r="D107" s="88" t="s">
        <v>1088</v>
      </c>
      <c r="E107" s="38" t="s">
        <v>1087</v>
      </c>
      <c r="F107" s="89" t="s">
        <v>29</v>
      </c>
      <c r="G107" s="89" t="s">
        <v>49</v>
      </c>
      <c r="H107" s="89" t="s">
        <v>31</v>
      </c>
      <c r="I107" s="108">
        <v>37.5</v>
      </c>
      <c r="J107" s="88" t="s">
        <v>91</v>
      </c>
      <c r="K107" s="38" t="s">
        <v>127</v>
      </c>
      <c r="L107" s="38" t="s">
        <v>34</v>
      </c>
      <c r="M107" s="90" t="s">
        <v>1</v>
      </c>
      <c r="N107" s="36"/>
      <c r="O107" s="36"/>
      <c r="P107" s="36">
        <v>200.79</v>
      </c>
      <c r="Q107" s="36">
        <v>174.6</v>
      </c>
      <c r="R107" s="36">
        <v>165.87</v>
      </c>
      <c r="S107" s="36"/>
      <c r="T107" s="36"/>
      <c r="U107" s="36"/>
      <c r="V107" s="36"/>
      <c r="W107" s="36"/>
      <c r="X107" s="36"/>
      <c r="Y107" s="36"/>
      <c r="Z107" s="38" t="s">
        <v>1127</v>
      </c>
      <c r="AA107" s="37">
        <f t="shared" si="66"/>
        <v>0</v>
      </c>
      <c r="AB107" s="37">
        <f t="shared" si="67"/>
        <v>0</v>
      </c>
      <c r="AC107" s="37">
        <f t="shared" si="68"/>
        <v>7529.625</v>
      </c>
      <c r="AD107" s="37">
        <f t="shared" si="69"/>
        <v>6547.5</v>
      </c>
      <c r="AE107" s="37">
        <f t="shared" si="70"/>
        <v>6220.125</v>
      </c>
      <c r="AF107" s="37">
        <f t="shared" si="71"/>
        <v>0</v>
      </c>
      <c r="AG107" s="37">
        <f t="shared" si="72"/>
        <v>0</v>
      </c>
      <c r="AH107" s="37">
        <f t="shared" si="73"/>
        <v>0</v>
      </c>
      <c r="AI107" s="37">
        <f t="shared" si="74"/>
        <v>0</v>
      </c>
      <c r="AJ107" s="37">
        <f t="shared" si="75"/>
        <v>0</v>
      </c>
      <c r="AK107" s="37">
        <f t="shared" si="76"/>
        <v>0</v>
      </c>
      <c r="AL107" s="37">
        <f t="shared" si="77"/>
        <v>0</v>
      </c>
      <c r="AM107" s="120">
        <v>1</v>
      </c>
    </row>
    <row r="108" spans="1:39" s="91" customFormat="1" ht="15.6">
      <c r="A108" s="87" t="s">
        <v>92</v>
      </c>
      <c r="B108" s="92" t="s">
        <v>121</v>
      </c>
      <c r="C108" s="88" t="s">
        <v>672</v>
      </c>
      <c r="D108" s="88" t="s">
        <v>879</v>
      </c>
      <c r="E108" s="38" t="s">
        <v>659</v>
      </c>
      <c r="F108" s="89" t="s">
        <v>29</v>
      </c>
      <c r="G108" s="89" t="s">
        <v>35</v>
      </c>
      <c r="H108" s="89" t="s">
        <v>31</v>
      </c>
      <c r="I108" s="108">
        <v>30.5</v>
      </c>
      <c r="J108" s="88" t="s">
        <v>91</v>
      </c>
      <c r="K108" s="38" t="s">
        <v>127</v>
      </c>
      <c r="L108" s="38" t="s">
        <v>34</v>
      </c>
      <c r="M108" s="90" t="s">
        <v>1</v>
      </c>
      <c r="N108" s="36">
        <v>174.6</v>
      </c>
      <c r="O108" s="36">
        <v>165.87</v>
      </c>
      <c r="P108" s="36">
        <v>200.79</v>
      </c>
      <c r="Q108" s="36">
        <v>174.6</v>
      </c>
      <c r="R108" s="36">
        <v>165.87</v>
      </c>
      <c r="S108" s="36">
        <v>209.51999999999998</v>
      </c>
      <c r="T108" s="36">
        <v>174.6</v>
      </c>
      <c r="U108" s="36">
        <v>218.25</v>
      </c>
      <c r="V108" s="36">
        <v>165.87</v>
      </c>
      <c r="W108" s="36">
        <v>157.13999999999999</v>
      </c>
      <c r="X108" s="36">
        <v>209.51999999999998</v>
      </c>
      <c r="Y108" s="36">
        <v>165.87</v>
      </c>
      <c r="Z108" s="38"/>
      <c r="AA108" s="37">
        <f t="shared" si="66"/>
        <v>5325.3</v>
      </c>
      <c r="AB108" s="37">
        <f t="shared" si="67"/>
        <v>5059.0349999999999</v>
      </c>
      <c r="AC108" s="37">
        <f t="shared" si="68"/>
        <v>6124.0949999999993</v>
      </c>
      <c r="AD108" s="37">
        <f t="shared" si="69"/>
        <v>5325.3</v>
      </c>
      <c r="AE108" s="37">
        <f t="shared" si="70"/>
        <v>5059.0349999999999</v>
      </c>
      <c r="AF108" s="37">
        <f t="shared" si="71"/>
        <v>6390.36</v>
      </c>
      <c r="AG108" s="37">
        <f t="shared" si="72"/>
        <v>5325.3</v>
      </c>
      <c r="AH108" s="37">
        <f t="shared" si="73"/>
        <v>6656.625</v>
      </c>
      <c r="AI108" s="37">
        <f t="shared" si="74"/>
        <v>5059.0349999999999</v>
      </c>
      <c r="AJ108" s="37">
        <f t="shared" si="75"/>
        <v>4792.7699999999995</v>
      </c>
      <c r="AK108" s="37">
        <f t="shared" si="76"/>
        <v>6390.36</v>
      </c>
      <c r="AL108" s="37">
        <f t="shared" si="77"/>
        <v>5059.0349999999999</v>
      </c>
      <c r="AM108" s="120">
        <v>1</v>
      </c>
    </row>
    <row r="109" spans="1:39" s="91" customFormat="1" ht="15.6">
      <c r="A109" s="87" t="s">
        <v>92</v>
      </c>
      <c r="B109" s="92" t="s">
        <v>121</v>
      </c>
      <c r="C109" s="88" t="s">
        <v>238</v>
      </c>
      <c r="D109" s="88" t="s">
        <v>880</v>
      </c>
      <c r="E109" s="38" t="s">
        <v>239</v>
      </c>
      <c r="F109" s="89" t="s">
        <v>29</v>
      </c>
      <c r="G109" s="89" t="s">
        <v>49</v>
      </c>
      <c r="H109" s="89" t="s">
        <v>31</v>
      </c>
      <c r="I109" s="108">
        <v>30.5</v>
      </c>
      <c r="J109" s="88" t="s">
        <v>91</v>
      </c>
      <c r="K109" s="38" t="s">
        <v>127</v>
      </c>
      <c r="L109" s="38" t="s">
        <v>34</v>
      </c>
      <c r="M109" s="90" t="s">
        <v>1</v>
      </c>
      <c r="N109" s="84">
        <v>165.87</v>
      </c>
      <c r="O109" s="84">
        <v>165.87</v>
      </c>
      <c r="P109" s="84">
        <v>209.51999999999998</v>
      </c>
      <c r="Q109" s="84">
        <v>174.6</v>
      </c>
      <c r="R109" s="84">
        <v>165.87</v>
      </c>
      <c r="S109" s="84">
        <v>200.79</v>
      </c>
      <c r="T109" s="84">
        <v>174.6</v>
      </c>
      <c r="U109" s="84">
        <v>218.25</v>
      </c>
      <c r="V109" s="84">
        <v>165.87</v>
      </c>
      <c r="W109" s="84">
        <v>157.13999999999999</v>
      </c>
      <c r="X109" s="84">
        <v>218.25</v>
      </c>
      <c r="Y109" s="84">
        <v>165.87</v>
      </c>
      <c r="Z109" s="38"/>
      <c r="AA109" s="37">
        <f t="shared" si="66"/>
        <v>5059.0349999999999</v>
      </c>
      <c r="AB109" s="37">
        <f t="shared" si="67"/>
        <v>5059.0349999999999</v>
      </c>
      <c r="AC109" s="37">
        <f t="shared" si="68"/>
        <v>6390.36</v>
      </c>
      <c r="AD109" s="37">
        <f t="shared" si="69"/>
        <v>5325.3</v>
      </c>
      <c r="AE109" s="37">
        <f t="shared" si="70"/>
        <v>5059.0349999999999</v>
      </c>
      <c r="AF109" s="37">
        <f t="shared" si="71"/>
        <v>6124.0949999999993</v>
      </c>
      <c r="AG109" s="37">
        <f t="shared" si="72"/>
        <v>5325.3</v>
      </c>
      <c r="AH109" s="37">
        <f t="shared" si="73"/>
        <v>6656.625</v>
      </c>
      <c r="AI109" s="37">
        <f t="shared" si="74"/>
        <v>5059.0349999999999</v>
      </c>
      <c r="AJ109" s="37">
        <f t="shared" si="75"/>
        <v>4792.7699999999995</v>
      </c>
      <c r="AK109" s="37">
        <f t="shared" si="76"/>
        <v>6656.625</v>
      </c>
      <c r="AL109" s="37">
        <f t="shared" si="77"/>
        <v>5059.0349999999999</v>
      </c>
      <c r="AM109" s="120">
        <v>1</v>
      </c>
    </row>
    <row r="110" spans="1:39" s="91" customFormat="1" ht="15.6">
      <c r="A110" s="87" t="s">
        <v>92</v>
      </c>
      <c r="B110" s="92" t="s">
        <v>121</v>
      </c>
      <c r="C110" s="96" t="s">
        <v>240</v>
      </c>
      <c r="D110" s="96" t="s">
        <v>881</v>
      </c>
      <c r="E110" s="38" t="s">
        <v>241</v>
      </c>
      <c r="F110" s="89" t="s">
        <v>29</v>
      </c>
      <c r="G110" s="83" t="s">
        <v>30</v>
      </c>
      <c r="H110" s="89" t="s">
        <v>31</v>
      </c>
      <c r="I110" s="108">
        <v>30.5</v>
      </c>
      <c r="J110" s="88" t="s">
        <v>91</v>
      </c>
      <c r="K110" s="38" t="s">
        <v>127</v>
      </c>
      <c r="L110" s="38" t="s">
        <v>34</v>
      </c>
      <c r="M110" s="90" t="s">
        <v>1</v>
      </c>
      <c r="N110" s="84">
        <v>165.87</v>
      </c>
      <c r="O110" s="84">
        <v>165.87</v>
      </c>
      <c r="P110" s="84">
        <v>209.51999999999998</v>
      </c>
      <c r="Q110" s="84">
        <v>165.87</v>
      </c>
      <c r="R110" s="84">
        <v>140</v>
      </c>
      <c r="S110" s="84">
        <v>200.79</v>
      </c>
      <c r="T110" s="84">
        <v>174.6</v>
      </c>
      <c r="U110" s="84">
        <v>218.25</v>
      </c>
      <c r="V110" s="84"/>
      <c r="W110" s="84"/>
      <c r="X110" s="84"/>
      <c r="Y110" s="84"/>
      <c r="Z110" s="38" t="s">
        <v>1181</v>
      </c>
      <c r="AA110" s="37">
        <f t="shared" si="66"/>
        <v>5059.0349999999999</v>
      </c>
      <c r="AB110" s="37">
        <f t="shared" si="67"/>
        <v>5059.0349999999999</v>
      </c>
      <c r="AC110" s="37">
        <f t="shared" si="68"/>
        <v>6390.36</v>
      </c>
      <c r="AD110" s="37">
        <f t="shared" si="69"/>
        <v>5059.0349999999999</v>
      </c>
      <c r="AE110" s="37">
        <f t="shared" si="70"/>
        <v>4270</v>
      </c>
      <c r="AF110" s="37">
        <f t="shared" si="71"/>
        <v>6124.0949999999993</v>
      </c>
      <c r="AG110" s="37">
        <f t="shared" si="72"/>
        <v>5325.3</v>
      </c>
      <c r="AH110" s="37">
        <f t="shared" si="73"/>
        <v>6656.625</v>
      </c>
      <c r="AI110" s="37">
        <f t="shared" si="74"/>
        <v>0</v>
      </c>
      <c r="AJ110" s="37">
        <f t="shared" si="75"/>
        <v>0</v>
      </c>
      <c r="AK110" s="37">
        <f t="shared" si="76"/>
        <v>0</v>
      </c>
      <c r="AL110" s="37">
        <f t="shared" si="77"/>
        <v>0</v>
      </c>
      <c r="AM110" s="120">
        <v>1</v>
      </c>
    </row>
    <row r="111" spans="1:39" s="91" customFormat="1" ht="15.6">
      <c r="A111" s="87" t="s">
        <v>92</v>
      </c>
      <c r="B111" s="92" t="s">
        <v>121</v>
      </c>
      <c r="C111" s="88" t="s">
        <v>242</v>
      </c>
      <c r="D111" s="88" t="s">
        <v>882</v>
      </c>
      <c r="E111" s="38" t="s">
        <v>243</v>
      </c>
      <c r="F111" s="89" t="s">
        <v>637</v>
      </c>
      <c r="G111" s="89" t="s">
        <v>73</v>
      </c>
      <c r="H111" s="89">
        <v>7</v>
      </c>
      <c r="I111" s="108">
        <v>88.5</v>
      </c>
      <c r="J111" s="88" t="s">
        <v>91</v>
      </c>
      <c r="K111" s="38" t="s">
        <v>127</v>
      </c>
      <c r="L111" s="38" t="s">
        <v>74</v>
      </c>
      <c r="M111" s="90" t="s">
        <v>2</v>
      </c>
      <c r="N111" s="84">
        <v>171</v>
      </c>
      <c r="O111" s="84">
        <v>171</v>
      </c>
      <c r="P111" s="84">
        <v>216</v>
      </c>
      <c r="Q111" s="84">
        <v>180</v>
      </c>
      <c r="R111" s="84">
        <v>171</v>
      </c>
      <c r="S111" s="84">
        <v>225</v>
      </c>
      <c r="T111" s="84">
        <v>171</v>
      </c>
      <c r="U111" s="84">
        <v>216</v>
      </c>
      <c r="V111" s="84">
        <v>171</v>
      </c>
      <c r="W111" s="84">
        <v>171</v>
      </c>
      <c r="X111" s="84">
        <v>216</v>
      </c>
      <c r="Y111" s="84">
        <v>171</v>
      </c>
      <c r="Z111" s="38"/>
      <c r="AA111" s="37">
        <f t="shared" si="66"/>
        <v>15133.5</v>
      </c>
      <c r="AB111" s="37">
        <f t="shared" si="67"/>
        <v>15133.5</v>
      </c>
      <c r="AC111" s="37">
        <f t="shared" si="68"/>
        <v>19116</v>
      </c>
      <c r="AD111" s="37">
        <f t="shared" si="69"/>
        <v>15930</v>
      </c>
      <c r="AE111" s="37">
        <f t="shared" si="70"/>
        <v>15133.5</v>
      </c>
      <c r="AF111" s="37">
        <f t="shared" si="71"/>
        <v>19912.5</v>
      </c>
      <c r="AG111" s="37">
        <f t="shared" si="72"/>
        <v>15133.5</v>
      </c>
      <c r="AH111" s="37">
        <f t="shared" si="73"/>
        <v>19116</v>
      </c>
      <c r="AI111" s="37">
        <f t="shared" si="74"/>
        <v>15133.5</v>
      </c>
      <c r="AJ111" s="37">
        <f t="shared" si="75"/>
        <v>15133.5</v>
      </c>
      <c r="AK111" s="37">
        <f t="shared" si="76"/>
        <v>19116</v>
      </c>
      <c r="AL111" s="37">
        <f t="shared" si="77"/>
        <v>15133.5</v>
      </c>
      <c r="AM111" s="120">
        <v>1</v>
      </c>
    </row>
    <row r="112" spans="1:39" s="91" customFormat="1" ht="15.6">
      <c r="A112" s="87" t="s">
        <v>92</v>
      </c>
      <c r="B112" s="92" t="s">
        <v>121</v>
      </c>
      <c r="C112" s="38" t="s">
        <v>670</v>
      </c>
      <c r="D112" s="38" t="s">
        <v>883</v>
      </c>
      <c r="E112" s="38" t="s">
        <v>577</v>
      </c>
      <c r="F112" s="89" t="s">
        <v>29</v>
      </c>
      <c r="G112" s="89" t="s">
        <v>49</v>
      </c>
      <c r="H112" s="89" t="s">
        <v>44</v>
      </c>
      <c r="I112" s="108">
        <v>14</v>
      </c>
      <c r="J112" s="88" t="s">
        <v>91</v>
      </c>
      <c r="K112" s="38" t="s">
        <v>129</v>
      </c>
      <c r="L112" s="38" t="s">
        <v>34</v>
      </c>
      <c r="M112" s="90" t="s">
        <v>1</v>
      </c>
      <c r="N112" s="84">
        <v>165.87</v>
      </c>
      <c r="O112" s="84">
        <v>165.87</v>
      </c>
      <c r="P112" s="84">
        <v>209.51999999999998</v>
      </c>
      <c r="Q112" s="84">
        <v>174.6</v>
      </c>
      <c r="R112" s="84">
        <v>165.87</v>
      </c>
      <c r="S112" s="84">
        <v>200.79</v>
      </c>
      <c r="T112" s="84">
        <v>174.6</v>
      </c>
      <c r="U112" s="84">
        <v>218.25</v>
      </c>
      <c r="V112" s="84">
        <v>165.87</v>
      </c>
      <c r="W112" s="84">
        <v>157.13999999999999</v>
      </c>
      <c r="X112" s="84">
        <v>218.25</v>
      </c>
      <c r="Y112" s="84">
        <v>165.87</v>
      </c>
      <c r="Z112" s="38"/>
      <c r="AA112" s="37">
        <f t="shared" ref="AA112:AA143" si="115">$I112*N112</f>
        <v>2322.1800000000003</v>
      </c>
      <c r="AB112" s="37">
        <f t="shared" ref="AB112:AB143" si="116">$I112*O112</f>
        <v>2322.1800000000003</v>
      </c>
      <c r="AC112" s="37">
        <f t="shared" ref="AC112:AC143" si="117">$I112*P112</f>
        <v>2933.2799999999997</v>
      </c>
      <c r="AD112" s="37">
        <f t="shared" ref="AD112:AD143" si="118">$I112*Q112</f>
        <v>2444.4</v>
      </c>
      <c r="AE112" s="37">
        <f t="shared" ref="AE112:AE143" si="119">$I112*R112</f>
        <v>2322.1800000000003</v>
      </c>
      <c r="AF112" s="37">
        <f t="shared" ref="AF112:AF143" si="120">$I112*S112</f>
        <v>2811.06</v>
      </c>
      <c r="AG112" s="37">
        <f t="shared" ref="AG112:AG143" si="121">$I112*T112</f>
        <v>2444.4</v>
      </c>
      <c r="AH112" s="37">
        <f t="shared" ref="AH112:AH143" si="122">$I112*U112</f>
        <v>3055.5</v>
      </c>
      <c r="AI112" s="37">
        <f t="shared" ref="AI112:AI143" si="123">$I112*V112</f>
        <v>2322.1800000000003</v>
      </c>
      <c r="AJ112" s="37">
        <f t="shared" ref="AJ112:AJ143" si="124">$I112*W112</f>
        <v>2199.96</v>
      </c>
      <c r="AK112" s="37">
        <f t="shared" ref="AK112:AK143" si="125">$I112*X112</f>
        <v>3055.5</v>
      </c>
      <c r="AL112" s="37">
        <f t="shared" ref="AL112:AL143" si="126">$I112*Y112</f>
        <v>2322.1800000000003</v>
      </c>
      <c r="AM112" s="120">
        <v>1</v>
      </c>
    </row>
    <row r="113" spans="1:39" s="91" customFormat="1" ht="15.6">
      <c r="A113" s="87" t="s">
        <v>92</v>
      </c>
      <c r="B113" s="92" t="s">
        <v>121</v>
      </c>
      <c r="C113" s="96" t="s">
        <v>244</v>
      </c>
      <c r="D113" s="96" t="s">
        <v>884</v>
      </c>
      <c r="E113" s="38" t="s">
        <v>245</v>
      </c>
      <c r="F113" s="83" t="s">
        <v>29</v>
      </c>
      <c r="G113" s="83" t="s">
        <v>30</v>
      </c>
      <c r="H113" s="89" t="s">
        <v>31</v>
      </c>
      <c r="I113" s="108">
        <v>30.5</v>
      </c>
      <c r="J113" s="88" t="s">
        <v>91</v>
      </c>
      <c r="K113" s="38" t="s">
        <v>246</v>
      </c>
      <c r="L113" s="38" t="s">
        <v>34</v>
      </c>
      <c r="M113" s="90" t="s">
        <v>1</v>
      </c>
      <c r="N113" s="84">
        <v>165.87</v>
      </c>
      <c r="O113" s="84">
        <v>165.87</v>
      </c>
      <c r="P113" s="84">
        <v>209.51999999999998</v>
      </c>
      <c r="Q113" s="84">
        <v>165.87</v>
      </c>
      <c r="R113" s="84">
        <v>126</v>
      </c>
      <c r="S113" s="84">
        <v>209.51999999999998</v>
      </c>
      <c r="T113" s="84">
        <v>174.6</v>
      </c>
      <c r="U113" s="84">
        <v>218.25</v>
      </c>
      <c r="V113" s="84">
        <v>165.87</v>
      </c>
      <c r="W113" s="84">
        <v>157.13999999999999</v>
      </c>
      <c r="X113" s="84">
        <v>218.25</v>
      </c>
      <c r="Y113" s="84">
        <v>165.87</v>
      </c>
      <c r="Z113" s="38"/>
      <c r="AA113" s="37">
        <f t="shared" si="115"/>
        <v>5059.0349999999999</v>
      </c>
      <c r="AB113" s="37">
        <f t="shared" si="116"/>
        <v>5059.0349999999999</v>
      </c>
      <c r="AC113" s="37">
        <f t="shared" si="117"/>
        <v>6390.36</v>
      </c>
      <c r="AD113" s="37">
        <f t="shared" si="118"/>
        <v>5059.0349999999999</v>
      </c>
      <c r="AE113" s="37">
        <f t="shared" si="119"/>
        <v>3843</v>
      </c>
      <c r="AF113" s="37">
        <f t="shared" si="120"/>
        <v>6390.36</v>
      </c>
      <c r="AG113" s="37">
        <f t="shared" si="121"/>
        <v>5325.3</v>
      </c>
      <c r="AH113" s="37">
        <f t="shared" si="122"/>
        <v>6656.625</v>
      </c>
      <c r="AI113" s="37">
        <f t="shared" si="123"/>
        <v>5059.0349999999999</v>
      </c>
      <c r="AJ113" s="37">
        <f t="shared" si="124"/>
        <v>4792.7699999999995</v>
      </c>
      <c r="AK113" s="37">
        <f t="shared" si="125"/>
        <v>6656.625</v>
      </c>
      <c r="AL113" s="37">
        <f t="shared" si="126"/>
        <v>5059.0349999999999</v>
      </c>
      <c r="AM113" s="120">
        <v>1</v>
      </c>
    </row>
    <row r="114" spans="1:39" s="91" customFormat="1" ht="15.6">
      <c r="A114" s="87" t="s">
        <v>92</v>
      </c>
      <c r="B114" s="92" t="s">
        <v>121</v>
      </c>
      <c r="C114" s="96" t="s">
        <v>247</v>
      </c>
      <c r="D114" s="96" t="s">
        <v>885</v>
      </c>
      <c r="E114" s="38" t="s">
        <v>248</v>
      </c>
      <c r="F114" s="89" t="s">
        <v>29</v>
      </c>
      <c r="G114" s="89" t="s">
        <v>39</v>
      </c>
      <c r="H114" s="99">
        <v>8</v>
      </c>
      <c r="I114" s="108">
        <v>41</v>
      </c>
      <c r="J114" s="88" t="s">
        <v>45</v>
      </c>
      <c r="K114" s="38" t="s">
        <v>147</v>
      </c>
      <c r="L114" s="38" t="s">
        <v>34</v>
      </c>
      <c r="M114" s="90" t="s">
        <v>1</v>
      </c>
      <c r="N114" s="84">
        <v>165.87</v>
      </c>
      <c r="O114" s="84">
        <v>165.87</v>
      </c>
      <c r="P114" s="84">
        <v>209.51999999999998</v>
      </c>
      <c r="Q114" s="84">
        <v>174.6</v>
      </c>
      <c r="R114" s="84">
        <f>180-24</f>
        <v>156</v>
      </c>
      <c r="S114" s="84">
        <v>200.79</v>
      </c>
      <c r="T114" s="84">
        <v>174.6</v>
      </c>
      <c r="U114" s="84">
        <v>218.25</v>
      </c>
      <c r="V114" s="84">
        <v>165.87</v>
      </c>
      <c r="W114" s="84">
        <v>157.13999999999999</v>
      </c>
      <c r="X114" s="84">
        <v>218.25</v>
      </c>
      <c r="Y114" s="84">
        <v>165.87</v>
      </c>
      <c r="Z114" s="38"/>
      <c r="AA114" s="37">
        <f t="shared" si="115"/>
        <v>6800.67</v>
      </c>
      <c r="AB114" s="37">
        <f t="shared" si="116"/>
        <v>6800.67</v>
      </c>
      <c r="AC114" s="37">
        <f t="shared" si="117"/>
        <v>8590.32</v>
      </c>
      <c r="AD114" s="37">
        <f t="shared" si="118"/>
        <v>7158.5999999999995</v>
      </c>
      <c r="AE114" s="37">
        <f t="shared" si="119"/>
        <v>6396</v>
      </c>
      <c r="AF114" s="37">
        <f t="shared" si="120"/>
        <v>8232.39</v>
      </c>
      <c r="AG114" s="37">
        <f t="shared" si="121"/>
        <v>7158.5999999999995</v>
      </c>
      <c r="AH114" s="37">
        <f t="shared" si="122"/>
        <v>8948.25</v>
      </c>
      <c r="AI114" s="37">
        <f t="shared" si="123"/>
        <v>6800.67</v>
      </c>
      <c r="AJ114" s="37">
        <f t="shared" si="124"/>
        <v>6442.74</v>
      </c>
      <c r="AK114" s="37">
        <f t="shared" si="125"/>
        <v>8948.25</v>
      </c>
      <c r="AL114" s="37">
        <f t="shared" si="126"/>
        <v>6800.67</v>
      </c>
      <c r="AM114" s="120">
        <v>1</v>
      </c>
    </row>
    <row r="115" spans="1:39" s="91" customFormat="1" ht="15.6">
      <c r="A115" s="87" t="s">
        <v>92</v>
      </c>
      <c r="B115" s="92" t="s">
        <v>121</v>
      </c>
      <c r="C115" s="88" t="s">
        <v>249</v>
      </c>
      <c r="D115" s="88" t="s">
        <v>886</v>
      </c>
      <c r="E115" s="38" t="s">
        <v>250</v>
      </c>
      <c r="F115" s="89" t="s">
        <v>29</v>
      </c>
      <c r="G115" s="89" t="s">
        <v>49</v>
      </c>
      <c r="H115" s="89" t="s">
        <v>31</v>
      </c>
      <c r="I115" s="108">
        <v>30.5</v>
      </c>
      <c r="J115" s="88" t="s">
        <v>91</v>
      </c>
      <c r="K115" s="38" t="s">
        <v>122</v>
      </c>
      <c r="L115" s="38" t="s">
        <v>34</v>
      </c>
      <c r="M115" s="90" t="s">
        <v>1</v>
      </c>
      <c r="N115" s="84">
        <v>165.87</v>
      </c>
      <c r="O115" s="84">
        <v>165.87</v>
      </c>
      <c r="P115" s="84">
        <v>209.51999999999998</v>
      </c>
      <c r="Q115" s="84"/>
      <c r="R115" s="84"/>
      <c r="S115" s="84"/>
      <c r="T115" s="84"/>
      <c r="U115" s="84"/>
      <c r="V115" s="84"/>
      <c r="W115" s="84"/>
      <c r="X115" s="84"/>
      <c r="Y115" s="84"/>
      <c r="Z115" s="38"/>
      <c r="AA115" s="37">
        <f t="shared" si="115"/>
        <v>5059.0349999999999</v>
      </c>
      <c r="AB115" s="37">
        <f t="shared" si="116"/>
        <v>5059.0349999999999</v>
      </c>
      <c r="AC115" s="37">
        <f t="shared" si="117"/>
        <v>6390.36</v>
      </c>
      <c r="AD115" s="37">
        <f t="shared" si="118"/>
        <v>0</v>
      </c>
      <c r="AE115" s="37">
        <f t="shared" si="119"/>
        <v>0</v>
      </c>
      <c r="AF115" s="37">
        <f t="shared" si="120"/>
        <v>0</v>
      </c>
      <c r="AG115" s="37">
        <f t="shared" si="121"/>
        <v>0</v>
      </c>
      <c r="AH115" s="37">
        <f t="shared" si="122"/>
        <v>0</v>
      </c>
      <c r="AI115" s="37">
        <f t="shared" si="123"/>
        <v>0</v>
      </c>
      <c r="AJ115" s="37">
        <f t="shared" si="124"/>
        <v>0</v>
      </c>
      <c r="AK115" s="37">
        <f t="shared" si="125"/>
        <v>0</v>
      </c>
      <c r="AL115" s="37">
        <f t="shared" si="126"/>
        <v>0</v>
      </c>
      <c r="AM115" s="120">
        <v>1</v>
      </c>
    </row>
    <row r="116" spans="1:39" s="91" customFormat="1" ht="15.6">
      <c r="A116" s="87" t="s">
        <v>92</v>
      </c>
      <c r="B116" s="92" t="s">
        <v>121</v>
      </c>
      <c r="C116" s="88" t="s">
        <v>770</v>
      </c>
      <c r="D116" s="88" t="s">
        <v>887</v>
      </c>
      <c r="E116" s="38" t="s">
        <v>769</v>
      </c>
      <c r="F116" s="89" t="s">
        <v>29</v>
      </c>
      <c r="G116" s="89" t="s">
        <v>49</v>
      </c>
      <c r="H116" s="89" t="s">
        <v>31</v>
      </c>
      <c r="I116" s="108">
        <v>30.5</v>
      </c>
      <c r="J116" s="88" t="s">
        <v>91</v>
      </c>
      <c r="K116" s="38" t="s">
        <v>122</v>
      </c>
      <c r="L116" s="38" t="s">
        <v>34</v>
      </c>
      <c r="M116" s="90" t="s">
        <v>1</v>
      </c>
      <c r="N116" s="84"/>
      <c r="O116" s="84">
        <v>165.87</v>
      </c>
      <c r="P116" s="84">
        <v>209.51999999999998</v>
      </c>
      <c r="Q116" s="84">
        <v>174.6</v>
      </c>
      <c r="R116" s="84">
        <v>165.87</v>
      </c>
      <c r="S116" s="84">
        <v>200.79</v>
      </c>
      <c r="T116" s="84">
        <v>174.6</v>
      </c>
      <c r="U116" s="84">
        <v>218.25</v>
      </c>
      <c r="V116" s="84">
        <v>165.87</v>
      </c>
      <c r="W116" s="84">
        <v>157.13999999999999</v>
      </c>
      <c r="X116" s="84">
        <v>218.25</v>
      </c>
      <c r="Y116" s="84">
        <v>165.87</v>
      </c>
      <c r="Z116" s="38"/>
      <c r="AA116" s="37">
        <f t="shared" si="115"/>
        <v>0</v>
      </c>
      <c r="AB116" s="37">
        <f t="shared" si="116"/>
        <v>5059.0349999999999</v>
      </c>
      <c r="AC116" s="37">
        <f t="shared" si="117"/>
        <v>6390.36</v>
      </c>
      <c r="AD116" s="37">
        <f t="shared" si="118"/>
        <v>5325.3</v>
      </c>
      <c r="AE116" s="37">
        <f t="shared" si="119"/>
        <v>5059.0349999999999</v>
      </c>
      <c r="AF116" s="37">
        <f t="shared" si="120"/>
        <v>6124.0949999999993</v>
      </c>
      <c r="AG116" s="37">
        <f t="shared" si="121"/>
        <v>5325.3</v>
      </c>
      <c r="AH116" s="37">
        <f t="shared" si="122"/>
        <v>6656.625</v>
      </c>
      <c r="AI116" s="37">
        <f t="shared" si="123"/>
        <v>5059.0349999999999</v>
      </c>
      <c r="AJ116" s="37">
        <f t="shared" si="124"/>
        <v>4792.7699999999995</v>
      </c>
      <c r="AK116" s="37">
        <f t="shared" si="125"/>
        <v>6656.625</v>
      </c>
      <c r="AL116" s="37">
        <f t="shared" si="126"/>
        <v>5059.0349999999999</v>
      </c>
      <c r="AM116" s="120">
        <v>1</v>
      </c>
    </row>
    <row r="117" spans="1:39" s="91" customFormat="1" ht="15.6">
      <c r="A117" s="87" t="s">
        <v>92</v>
      </c>
      <c r="B117" s="92" t="s">
        <v>121</v>
      </c>
      <c r="C117" s="88" t="s">
        <v>253</v>
      </c>
      <c r="D117" s="88" t="s">
        <v>888</v>
      </c>
      <c r="E117" s="38" t="s">
        <v>254</v>
      </c>
      <c r="F117" s="83" t="s">
        <v>29</v>
      </c>
      <c r="G117" s="89" t="s">
        <v>49</v>
      </c>
      <c r="H117" s="89" t="s">
        <v>36</v>
      </c>
      <c r="I117" s="108">
        <v>29.5</v>
      </c>
      <c r="J117" s="88" t="s">
        <v>91</v>
      </c>
      <c r="K117" s="38" t="s">
        <v>127</v>
      </c>
      <c r="L117" s="38" t="s">
        <v>34</v>
      </c>
      <c r="M117" s="90" t="s">
        <v>1</v>
      </c>
      <c r="N117" s="84">
        <v>165.87</v>
      </c>
      <c r="O117" s="84">
        <v>165.87</v>
      </c>
      <c r="P117" s="84">
        <v>209.51999999999998</v>
      </c>
      <c r="Q117" s="84">
        <v>174.6</v>
      </c>
      <c r="R117" s="84">
        <v>110</v>
      </c>
      <c r="S117" s="84">
        <v>200.79</v>
      </c>
      <c r="T117" s="84">
        <v>174.6</v>
      </c>
      <c r="U117" s="84">
        <v>218.25</v>
      </c>
      <c r="V117" s="84">
        <v>165.87</v>
      </c>
      <c r="W117" s="84">
        <v>157.13999999999999</v>
      </c>
      <c r="X117" s="84">
        <v>218.25</v>
      </c>
      <c r="Y117" s="84">
        <v>165.87</v>
      </c>
      <c r="Z117" s="38"/>
      <c r="AA117" s="37">
        <f t="shared" ref="AA117" si="127">$I117*N117</f>
        <v>4893.165</v>
      </c>
      <c r="AB117" s="37">
        <f t="shared" ref="AB117" si="128">$I117*O117</f>
        <v>4893.165</v>
      </c>
      <c r="AC117" s="37">
        <f t="shared" ref="AC117" si="129">$I117*P117</f>
        <v>6180.8399999999992</v>
      </c>
      <c r="AD117" s="37">
        <f t="shared" ref="AD117" si="130">$I117*Q117</f>
        <v>5150.7</v>
      </c>
      <c r="AE117" s="37">
        <f t="shared" ref="AE117" si="131">$I117*R117</f>
        <v>3245</v>
      </c>
      <c r="AF117" s="37">
        <f t="shared" ref="AF117" si="132">$I117*S117</f>
        <v>5923.3049999999994</v>
      </c>
      <c r="AG117" s="37">
        <f t="shared" ref="AG117" si="133">$I117*T117</f>
        <v>5150.7</v>
      </c>
      <c r="AH117" s="37">
        <f t="shared" ref="AH117" si="134">$I117*U117</f>
        <v>6438.375</v>
      </c>
      <c r="AI117" s="37">
        <f t="shared" ref="AI117" si="135">$I117*V117</f>
        <v>4893.165</v>
      </c>
      <c r="AJ117" s="37">
        <f t="shared" ref="AJ117" si="136">$I117*W117</f>
        <v>4635.6299999999992</v>
      </c>
      <c r="AK117" s="37">
        <f t="shared" ref="AK117" si="137">$I117*X117</f>
        <v>6438.375</v>
      </c>
      <c r="AL117" s="37">
        <f t="shared" ref="AL117" si="138">$I117*Y117</f>
        <v>4893.165</v>
      </c>
      <c r="AM117" s="120">
        <v>1</v>
      </c>
    </row>
    <row r="118" spans="1:39" s="91" customFormat="1" ht="15.6">
      <c r="A118" s="87" t="s">
        <v>92</v>
      </c>
      <c r="B118" s="92" t="s">
        <v>121</v>
      </c>
      <c r="C118" s="88" t="s">
        <v>1130</v>
      </c>
      <c r="D118" s="88" t="s">
        <v>1129</v>
      </c>
      <c r="E118" s="38" t="s">
        <v>1128</v>
      </c>
      <c r="F118" s="83" t="s">
        <v>29</v>
      </c>
      <c r="G118" s="89" t="s">
        <v>30</v>
      </c>
      <c r="H118" s="89" t="s">
        <v>36</v>
      </c>
      <c r="I118" s="108">
        <v>29.5</v>
      </c>
      <c r="J118" s="88" t="s">
        <v>91</v>
      </c>
      <c r="K118" s="38" t="s">
        <v>127</v>
      </c>
      <c r="L118" s="38" t="s">
        <v>34</v>
      </c>
      <c r="M118" s="90" t="s">
        <v>1</v>
      </c>
      <c r="N118" s="84"/>
      <c r="O118" s="84"/>
      <c r="P118" s="84"/>
      <c r="Q118" s="84"/>
      <c r="R118" s="84">
        <v>165.87</v>
      </c>
      <c r="S118" s="84">
        <v>200.79</v>
      </c>
      <c r="T118" s="84">
        <v>174.6</v>
      </c>
      <c r="U118" s="84">
        <v>218.25</v>
      </c>
      <c r="V118" s="84">
        <v>165.87</v>
      </c>
      <c r="W118" s="84">
        <v>157.13999999999999</v>
      </c>
      <c r="X118" s="84">
        <v>218.25</v>
      </c>
      <c r="Y118" s="84">
        <v>165.87</v>
      </c>
      <c r="Z118" s="38"/>
      <c r="AA118" s="37">
        <f t="shared" si="115"/>
        <v>0</v>
      </c>
      <c r="AB118" s="37">
        <f t="shared" si="116"/>
        <v>0</v>
      </c>
      <c r="AC118" s="37">
        <f t="shared" si="117"/>
        <v>0</v>
      </c>
      <c r="AD118" s="37">
        <f t="shared" si="118"/>
        <v>0</v>
      </c>
      <c r="AE118" s="37">
        <f t="shared" si="119"/>
        <v>4893.165</v>
      </c>
      <c r="AF118" s="37">
        <f t="shared" si="120"/>
        <v>5923.3049999999994</v>
      </c>
      <c r="AG118" s="37">
        <f t="shared" si="121"/>
        <v>5150.7</v>
      </c>
      <c r="AH118" s="37">
        <f t="shared" si="122"/>
        <v>6438.375</v>
      </c>
      <c r="AI118" s="37">
        <f t="shared" si="123"/>
        <v>4893.165</v>
      </c>
      <c r="AJ118" s="37">
        <f t="shared" si="124"/>
        <v>4635.6299999999992</v>
      </c>
      <c r="AK118" s="37">
        <f t="shared" si="125"/>
        <v>6438.375</v>
      </c>
      <c r="AL118" s="37">
        <f t="shared" si="126"/>
        <v>4893.165</v>
      </c>
      <c r="AM118" s="120">
        <v>1</v>
      </c>
    </row>
    <row r="119" spans="1:39" s="91" customFormat="1" ht="15.6">
      <c r="A119" s="87" t="s">
        <v>92</v>
      </c>
      <c r="B119" s="92" t="s">
        <v>121</v>
      </c>
      <c r="C119" s="88" t="s">
        <v>257</v>
      </c>
      <c r="D119" s="88" t="s">
        <v>889</v>
      </c>
      <c r="E119" s="38" t="s">
        <v>258</v>
      </c>
      <c r="F119" s="83" t="s">
        <v>29</v>
      </c>
      <c r="G119" s="89" t="s">
        <v>49</v>
      </c>
      <c r="H119" s="89" t="s">
        <v>60</v>
      </c>
      <c r="I119" s="108">
        <v>19.5</v>
      </c>
      <c r="J119" s="38" t="s">
        <v>45</v>
      </c>
      <c r="K119" s="38" t="s">
        <v>147</v>
      </c>
      <c r="L119" s="38" t="s">
        <v>34</v>
      </c>
      <c r="M119" s="90" t="s">
        <v>1</v>
      </c>
      <c r="N119" s="84">
        <v>165.87</v>
      </c>
      <c r="O119" s="84">
        <v>45</v>
      </c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38" t="s">
        <v>767</v>
      </c>
      <c r="AA119" s="37">
        <f t="shared" si="115"/>
        <v>3234.4650000000001</v>
      </c>
      <c r="AB119" s="37">
        <f t="shared" si="116"/>
        <v>877.5</v>
      </c>
      <c r="AC119" s="37">
        <f t="shared" si="117"/>
        <v>0</v>
      </c>
      <c r="AD119" s="37">
        <f t="shared" si="118"/>
        <v>0</v>
      </c>
      <c r="AE119" s="37">
        <f t="shared" si="119"/>
        <v>0</v>
      </c>
      <c r="AF119" s="37">
        <f t="shared" si="120"/>
        <v>0</v>
      </c>
      <c r="AG119" s="37">
        <f t="shared" si="121"/>
        <v>0</v>
      </c>
      <c r="AH119" s="37">
        <f t="shared" si="122"/>
        <v>0</v>
      </c>
      <c r="AI119" s="37">
        <f t="shared" si="123"/>
        <v>0</v>
      </c>
      <c r="AJ119" s="37">
        <f t="shared" si="124"/>
        <v>0</v>
      </c>
      <c r="AK119" s="37">
        <f t="shared" si="125"/>
        <v>0</v>
      </c>
      <c r="AL119" s="37">
        <f t="shared" si="126"/>
        <v>0</v>
      </c>
      <c r="AM119" s="120">
        <v>1</v>
      </c>
    </row>
    <row r="120" spans="1:39" s="91" customFormat="1" ht="15.6">
      <c r="A120" s="87" t="s">
        <v>92</v>
      </c>
      <c r="B120" s="92" t="s">
        <v>121</v>
      </c>
      <c r="C120" s="96" t="s">
        <v>259</v>
      </c>
      <c r="D120" s="96" t="s">
        <v>890</v>
      </c>
      <c r="E120" s="38" t="s">
        <v>260</v>
      </c>
      <c r="F120" s="83" t="s">
        <v>29</v>
      </c>
      <c r="G120" s="89" t="s">
        <v>49</v>
      </c>
      <c r="H120" s="89" t="s">
        <v>36</v>
      </c>
      <c r="I120" s="108">
        <v>24.5</v>
      </c>
      <c r="J120" s="38" t="s">
        <v>91</v>
      </c>
      <c r="K120" s="38" t="s">
        <v>135</v>
      </c>
      <c r="L120" s="38" t="s">
        <v>34</v>
      </c>
      <c r="M120" s="90" t="s">
        <v>1</v>
      </c>
      <c r="N120" s="84">
        <v>165.87</v>
      </c>
      <c r="O120" s="84">
        <v>165.87</v>
      </c>
      <c r="P120" s="84">
        <v>209.51999999999998</v>
      </c>
      <c r="Q120" s="84">
        <v>174.6</v>
      </c>
      <c r="R120" s="84">
        <v>126</v>
      </c>
      <c r="S120" s="84">
        <v>200.79</v>
      </c>
      <c r="T120" s="84">
        <v>174.6</v>
      </c>
      <c r="U120" s="84">
        <v>218.25</v>
      </c>
      <c r="V120" s="84">
        <v>165.87</v>
      </c>
      <c r="W120" s="84">
        <v>157.13999999999999</v>
      </c>
      <c r="X120" s="84">
        <v>218.25</v>
      </c>
      <c r="Y120" s="84">
        <v>165.87</v>
      </c>
      <c r="Z120" s="38"/>
      <c r="AA120" s="37">
        <f t="shared" si="115"/>
        <v>4063.8150000000001</v>
      </c>
      <c r="AB120" s="37">
        <f t="shared" si="116"/>
        <v>4063.8150000000001</v>
      </c>
      <c r="AC120" s="37">
        <f t="shared" si="117"/>
        <v>5133.24</v>
      </c>
      <c r="AD120" s="37">
        <f t="shared" si="118"/>
        <v>4277.7</v>
      </c>
      <c r="AE120" s="37">
        <f t="shared" si="119"/>
        <v>3087</v>
      </c>
      <c r="AF120" s="37">
        <f t="shared" si="120"/>
        <v>4919.3549999999996</v>
      </c>
      <c r="AG120" s="37">
        <f t="shared" si="121"/>
        <v>4277.7</v>
      </c>
      <c r="AH120" s="37">
        <f t="shared" si="122"/>
        <v>5347.125</v>
      </c>
      <c r="AI120" s="37">
        <f t="shared" si="123"/>
        <v>4063.8150000000001</v>
      </c>
      <c r="AJ120" s="37">
        <f t="shared" si="124"/>
        <v>3849.93</v>
      </c>
      <c r="AK120" s="37">
        <f t="shared" si="125"/>
        <v>5347.125</v>
      </c>
      <c r="AL120" s="37">
        <f t="shared" si="126"/>
        <v>4063.8150000000001</v>
      </c>
      <c r="AM120" s="120">
        <v>1</v>
      </c>
    </row>
    <row r="121" spans="1:39" s="91" customFormat="1" ht="15.6">
      <c r="A121" s="87" t="s">
        <v>92</v>
      </c>
      <c r="B121" s="92" t="s">
        <v>121</v>
      </c>
      <c r="C121" s="38" t="s">
        <v>558</v>
      </c>
      <c r="D121" s="38" t="s">
        <v>891</v>
      </c>
      <c r="E121" s="38" t="s">
        <v>218</v>
      </c>
      <c r="F121" s="83" t="s">
        <v>72</v>
      </c>
      <c r="G121" s="89" t="s">
        <v>73</v>
      </c>
      <c r="H121" s="89">
        <v>7</v>
      </c>
      <c r="I121" s="108">
        <v>160</v>
      </c>
      <c r="J121" s="88" t="s">
        <v>91</v>
      </c>
      <c r="K121" s="38" t="s">
        <v>127</v>
      </c>
      <c r="L121" s="38" t="s">
        <v>74</v>
      </c>
      <c r="M121" s="90" t="s">
        <v>2</v>
      </c>
      <c r="N121" s="84">
        <v>70</v>
      </c>
      <c r="O121" s="84">
        <v>152</v>
      </c>
      <c r="P121" s="84">
        <v>192</v>
      </c>
      <c r="Q121" s="84">
        <v>160</v>
      </c>
      <c r="R121" s="84">
        <v>152</v>
      </c>
      <c r="S121" s="84">
        <v>200</v>
      </c>
      <c r="T121" s="84">
        <v>152</v>
      </c>
      <c r="U121" s="84">
        <v>192</v>
      </c>
      <c r="V121" s="84">
        <v>152</v>
      </c>
      <c r="W121" s="84">
        <v>152</v>
      </c>
      <c r="X121" s="84">
        <v>192</v>
      </c>
      <c r="Y121" s="84">
        <v>152</v>
      </c>
      <c r="Z121" s="38" t="s">
        <v>690</v>
      </c>
      <c r="AA121" s="37">
        <f t="shared" si="115"/>
        <v>11200</v>
      </c>
      <c r="AB121" s="37">
        <f t="shared" si="116"/>
        <v>24320</v>
      </c>
      <c r="AC121" s="37">
        <f t="shared" si="117"/>
        <v>30720</v>
      </c>
      <c r="AD121" s="37">
        <f t="shared" si="118"/>
        <v>25600</v>
      </c>
      <c r="AE121" s="37">
        <f t="shared" si="119"/>
        <v>24320</v>
      </c>
      <c r="AF121" s="37">
        <f t="shared" si="120"/>
        <v>32000</v>
      </c>
      <c r="AG121" s="37">
        <f t="shared" si="121"/>
        <v>24320</v>
      </c>
      <c r="AH121" s="37">
        <f t="shared" si="122"/>
        <v>30720</v>
      </c>
      <c r="AI121" s="37">
        <f t="shared" si="123"/>
        <v>24320</v>
      </c>
      <c r="AJ121" s="37">
        <f t="shared" si="124"/>
        <v>24320</v>
      </c>
      <c r="AK121" s="37">
        <f t="shared" si="125"/>
        <v>30720</v>
      </c>
      <c r="AL121" s="37">
        <f t="shared" si="126"/>
        <v>24320</v>
      </c>
      <c r="AM121" s="120">
        <v>1</v>
      </c>
    </row>
    <row r="122" spans="1:39" s="91" customFormat="1" ht="15.6">
      <c r="A122" s="87" t="s">
        <v>92</v>
      </c>
      <c r="B122" s="92" t="s">
        <v>121</v>
      </c>
      <c r="C122" s="38" t="s">
        <v>549</v>
      </c>
      <c r="D122" s="38" t="s">
        <v>892</v>
      </c>
      <c r="E122" s="88" t="s">
        <v>128</v>
      </c>
      <c r="F122" s="83" t="s">
        <v>72</v>
      </c>
      <c r="G122" s="89" t="s">
        <v>73</v>
      </c>
      <c r="H122" s="89">
        <v>7</v>
      </c>
      <c r="I122" s="108">
        <v>160</v>
      </c>
      <c r="J122" s="88" t="s">
        <v>91</v>
      </c>
      <c r="K122" s="38" t="s">
        <v>127</v>
      </c>
      <c r="L122" s="38" t="s">
        <v>74</v>
      </c>
      <c r="M122" s="90" t="s">
        <v>2</v>
      </c>
      <c r="N122" s="84">
        <v>152</v>
      </c>
      <c r="O122" s="84">
        <v>152</v>
      </c>
      <c r="P122" s="84">
        <v>192</v>
      </c>
      <c r="Q122" s="84">
        <v>160</v>
      </c>
      <c r="R122" s="84">
        <v>152</v>
      </c>
      <c r="S122" s="84">
        <v>200</v>
      </c>
      <c r="T122" s="84">
        <v>152</v>
      </c>
      <c r="U122" s="84">
        <v>192</v>
      </c>
      <c r="V122" s="84">
        <v>152</v>
      </c>
      <c r="W122" s="84">
        <v>152</v>
      </c>
      <c r="X122" s="84">
        <v>192</v>
      </c>
      <c r="Y122" s="84">
        <v>152</v>
      </c>
      <c r="Z122" s="38"/>
      <c r="AA122" s="37">
        <f t="shared" si="115"/>
        <v>24320</v>
      </c>
      <c r="AB122" s="37">
        <f t="shared" si="116"/>
        <v>24320</v>
      </c>
      <c r="AC122" s="37">
        <f t="shared" si="117"/>
        <v>30720</v>
      </c>
      <c r="AD122" s="37">
        <f t="shared" si="118"/>
        <v>25600</v>
      </c>
      <c r="AE122" s="37">
        <f t="shared" si="119"/>
        <v>24320</v>
      </c>
      <c r="AF122" s="37">
        <f t="shared" si="120"/>
        <v>32000</v>
      </c>
      <c r="AG122" s="37">
        <f t="shared" si="121"/>
        <v>24320</v>
      </c>
      <c r="AH122" s="37">
        <f t="shared" si="122"/>
        <v>30720</v>
      </c>
      <c r="AI122" s="37">
        <f t="shared" si="123"/>
        <v>24320</v>
      </c>
      <c r="AJ122" s="37">
        <f t="shared" si="124"/>
        <v>24320</v>
      </c>
      <c r="AK122" s="37">
        <f t="shared" si="125"/>
        <v>30720</v>
      </c>
      <c r="AL122" s="37">
        <f t="shared" si="126"/>
        <v>24320</v>
      </c>
      <c r="AM122" s="120">
        <v>1</v>
      </c>
    </row>
    <row r="123" spans="1:39" s="91" customFormat="1" ht="15.6">
      <c r="A123" s="96" t="s">
        <v>92</v>
      </c>
      <c r="B123" s="92" t="s">
        <v>121</v>
      </c>
      <c r="C123" s="38" t="s">
        <v>551</v>
      </c>
      <c r="D123" s="38" t="s">
        <v>893</v>
      </c>
      <c r="E123" s="88" t="s">
        <v>136</v>
      </c>
      <c r="F123" s="83" t="s">
        <v>72</v>
      </c>
      <c r="G123" s="89" t="s">
        <v>73</v>
      </c>
      <c r="H123" s="89">
        <v>7</v>
      </c>
      <c r="I123" s="108">
        <v>88.5</v>
      </c>
      <c r="J123" s="88" t="s">
        <v>91</v>
      </c>
      <c r="K123" s="38" t="s">
        <v>135</v>
      </c>
      <c r="L123" s="38" t="s">
        <v>74</v>
      </c>
      <c r="M123" s="90" t="s">
        <v>2</v>
      </c>
      <c r="N123" s="84">
        <v>152</v>
      </c>
      <c r="O123" s="84">
        <v>152</v>
      </c>
      <c r="P123" s="84">
        <v>192</v>
      </c>
      <c r="Q123" s="84">
        <v>80</v>
      </c>
      <c r="R123" s="84"/>
      <c r="S123" s="84"/>
      <c r="T123" s="84"/>
      <c r="U123" s="84"/>
      <c r="V123" s="84"/>
      <c r="W123" s="84"/>
      <c r="X123" s="84"/>
      <c r="Y123" s="84"/>
      <c r="Z123" s="38"/>
      <c r="AA123" s="37">
        <f t="shared" si="115"/>
        <v>13452</v>
      </c>
      <c r="AB123" s="37">
        <f t="shared" si="116"/>
        <v>13452</v>
      </c>
      <c r="AC123" s="37">
        <f t="shared" si="117"/>
        <v>16992</v>
      </c>
      <c r="AD123" s="37">
        <f t="shared" si="118"/>
        <v>7080</v>
      </c>
      <c r="AE123" s="37">
        <f t="shared" si="119"/>
        <v>0</v>
      </c>
      <c r="AF123" s="37">
        <f t="shared" si="120"/>
        <v>0</v>
      </c>
      <c r="AG123" s="37">
        <f t="shared" si="121"/>
        <v>0</v>
      </c>
      <c r="AH123" s="37">
        <f t="shared" si="122"/>
        <v>0</v>
      </c>
      <c r="AI123" s="37">
        <f t="shared" si="123"/>
        <v>0</v>
      </c>
      <c r="AJ123" s="37">
        <f t="shared" si="124"/>
        <v>0</v>
      </c>
      <c r="AK123" s="37">
        <f t="shared" si="125"/>
        <v>0</v>
      </c>
      <c r="AL123" s="37">
        <f t="shared" si="126"/>
        <v>0</v>
      </c>
      <c r="AM123" s="120">
        <v>1</v>
      </c>
    </row>
    <row r="124" spans="1:39" s="91" customFormat="1" ht="15.6">
      <c r="A124" s="96" t="s">
        <v>92</v>
      </c>
      <c r="B124" s="92" t="s">
        <v>121</v>
      </c>
      <c r="C124" s="38" t="s">
        <v>551</v>
      </c>
      <c r="D124" s="38" t="s">
        <v>893</v>
      </c>
      <c r="E124" s="88" t="s">
        <v>136</v>
      </c>
      <c r="F124" s="83" t="s">
        <v>637</v>
      </c>
      <c r="G124" s="89" t="s">
        <v>73</v>
      </c>
      <c r="H124" s="89">
        <v>7</v>
      </c>
      <c r="I124" s="108">
        <v>88.5</v>
      </c>
      <c r="J124" s="88" t="s">
        <v>91</v>
      </c>
      <c r="K124" s="38" t="s">
        <v>135</v>
      </c>
      <c r="L124" s="38" t="s">
        <v>74</v>
      </c>
      <c r="M124" s="90" t="s">
        <v>2</v>
      </c>
      <c r="N124" s="84"/>
      <c r="O124" s="84"/>
      <c r="P124" s="84"/>
      <c r="Q124" s="84">
        <v>80</v>
      </c>
      <c r="R124" s="84">
        <v>152</v>
      </c>
      <c r="S124" s="84">
        <v>200</v>
      </c>
      <c r="T124" s="84">
        <v>152</v>
      </c>
      <c r="U124" s="84">
        <v>192</v>
      </c>
      <c r="V124" s="84">
        <v>152</v>
      </c>
      <c r="W124" s="84">
        <v>152</v>
      </c>
      <c r="X124" s="84">
        <v>192</v>
      </c>
      <c r="Y124" s="84">
        <v>152</v>
      </c>
      <c r="Z124" s="38"/>
      <c r="AA124" s="37">
        <f t="shared" si="115"/>
        <v>0</v>
      </c>
      <c r="AB124" s="37">
        <f t="shared" si="116"/>
        <v>0</v>
      </c>
      <c r="AC124" s="37">
        <f t="shared" si="117"/>
        <v>0</v>
      </c>
      <c r="AD124" s="37">
        <f t="shared" si="118"/>
        <v>7080</v>
      </c>
      <c r="AE124" s="37">
        <f t="shared" si="119"/>
        <v>13452</v>
      </c>
      <c r="AF124" s="37">
        <f t="shared" si="120"/>
        <v>17700</v>
      </c>
      <c r="AG124" s="37">
        <f t="shared" si="121"/>
        <v>13452</v>
      </c>
      <c r="AH124" s="37">
        <f t="shared" si="122"/>
        <v>16992</v>
      </c>
      <c r="AI124" s="37">
        <f t="shared" si="123"/>
        <v>13452</v>
      </c>
      <c r="AJ124" s="37">
        <f t="shared" si="124"/>
        <v>13452</v>
      </c>
      <c r="AK124" s="37">
        <f t="shared" si="125"/>
        <v>16992</v>
      </c>
      <c r="AL124" s="37">
        <f t="shared" si="126"/>
        <v>13452</v>
      </c>
      <c r="AM124" s="120">
        <v>1</v>
      </c>
    </row>
    <row r="125" spans="1:39" s="91" customFormat="1" ht="15.6">
      <c r="A125" s="87" t="s">
        <v>92</v>
      </c>
      <c r="B125" s="92" t="s">
        <v>121</v>
      </c>
      <c r="C125" s="38" t="s">
        <v>554</v>
      </c>
      <c r="D125" s="38" t="s">
        <v>894</v>
      </c>
      <c r="E125" s="88" t="s">
        <v>156</v>
      </c>
      <c r="F125" s="83" t="s">
        <v>72</v>
      </c>
      <c r="G125" s="89" t="s">
        <v>73</v>
      </c>
      <c r="H125" s="89">
        <v>6</v>
      </c>
      <c r="I125" s="108">
        <v>98</v>
      </c>
      <c r="J125" s="88" t="s">
        <v>473</v>
      </c>
      <c r="K125" s="38" t="s">
        <v>138</v>
      </c>
      <c r="L125" s="38" t="s">
        <v>74</v>
      </c>
      <c r="M125" s="90" t="s">
        <v>2</v>
      </c>
      <c r="N125" s="84">
        <v>152</v>
      </c>
      <c r="O125" s="84">
        <v>152</v>
      </c>
      <c r="P125" s="84">
        <v>192</v>
      </c>
      <c r="Q125" s="84">
        <v>160</v>
      </c>
      <c r="R125" s="84">
        <v>152</v>
      </c>
      <c r="S125" s="84">
        <v>200</v>
      </c>
      <c r="T125" s="84">
        <v>152</v>
      </c>
      <c r="U125" s="84">
        <v>192</v>
      </c>
      <c r="V125" s="84">
        <v>152</v>
      </c>
      <c r="W125" s="84">
        <v>152</v>
      </c>
      <c r="X125" s="84">
        <v>192</v>
      </c>
      <c r="Y125" s="84">
        <v>152</v>
      </c>
      <c r="Z125" s="38"/>
      <c r="AA125" s="37">
        <f t="shared" si="115"/>
        <v>14896</v>
      </c>
      <c r="AB125" s="37">
        <f t="shared" si="116"/>
        <v>14896</v>
      </c>
      <c r="AC125" s="37">
        <f t="shared" si="117"/>
        <v>18816</v>
      </c>
      <c r="AD125" s="37">
        <f t="shared" si="118"/>
        <v>15680</v>
      </c>
      <c r="AE125" s="37">
        <f t="shared" si="119"/>
        <v>14896</v>
      </c>
      <c r="AF125" s="37">
        <f t="shared" si="120"/>
        <v>19600</v>
      </c>
      <c r="AG125" s="37">
        <f t="shared" si="121"/>
        <v>14896</v>
      </c>
      <c r="AH125" s="37">
        <f t="shared" si="122"/>
        <v>18816</v>
      </c>
      <c r="AI125" s="37">
        <f t="shared" si="123"/>
        <v>14896</v>
      </c>
      <c r="AJ125" s="37">
        <f t="shared" si="124"/>
        <v>14896</v>
      </c>
      <c r="AK125" s="37">
        <f t="shared" si="125"/>
        <v>18816</v>
      </c>
      <c r="AL125" s="37">
        <f t="shared" si="126"/>
        <v>14896</v>
      </c>
      <c r="AM125" s="120">
        <v>1</v>
      </c>
    </row>
    <row r="126" spans="1:39" s="91" customFormat="1" ht="15.6">
      <c r="A126" s="87" t="s">
        <v>92</v>
      </c>
      <c r="B126" s="92" t="s">
        <v>121</v>
      </c>
      <c r="C126" s="38" t="s">
        <v>552</v>
      </c>
      <c r="D126" s="38" t="s">
        <v>895</v>
      </c>
      <c r="E126" s="111" t="s">
        <v>137</v>
      </c>
      <c r="F126" s="83" t="s">
        <v>637</v>
      </c>
      <c r="G126" s="89" t="s">
        <v>73</v>
      </c>
      <c r="H126" s="89">
        <v>7</v>
      </c>
      <c r="I126" s="108">
        <v>73</v>
      </c>
      <c r="J126" s="88" t="s">
        <v>473</v>
      </c>
      <c r="K126" s="38" t="s">
        <v>138</v>
      </c>
      <c r="L126" s="38" t="s">
        <v>74</v>
      </c>
      <c r="M126" s="90" t="s">
        <v>2</v>
      </c>
      <c r="N126" s="84">
        <v>171</v>
      </c>
      <c r="O126" s="84">
        <v>171</v>
      </c>
      <c r="P126" s="84">
        <v>216</v>
      </c>
      <c r="Q126" s="84">
        <v>180</v>
      </c>
      <c r="R126" s="84">
        <v>36</v>
      </c>
      <c r="S126" s="84"/>
      <c r="T126" s="84"/>
      <c r="U126" s="84"/>
      <c r="V126" s="84"/>
      <c r="W126" s="84"/>
      <c r="X126" s="84"/>
      <c r="Y126" s="84"/>
      <c r="Z126" s="38" t="s">
        <v>1166</v>
      </c>
      <c r="AA126" s="37">
        <f t="shared" si="115"/>
        <v>12483</v>
      </c>
      <c r="AB126" s="37">
        <f t="shared" si="116"/>
        <v>12483</v>
      </c>
      <c r="AC126" s="37">
        <f t="shared" si="117"/>
        <v>15768</v>
      </c>
      <c r="AD126" s="37">
        <f t="shared" si="118"/>
        <v>13140</v>
      </c>
      <c r="AE126" s="37">
        <f t="shared" si="119"/>
        <v>2628</v>
      </c>
      <c r="AF126" s="37">
        <f t="shared" si="120"/>
        <v>0</v>
      </c>
      <c r="AG126" s="37">
        <f t="shared" si="121"/>
        <v>0</v>
      </c>
      <c r="AH126" s="37">
        <f t="shared" si="122"/>
        <v>0</v>
      </c>
      <c r="AI126" s="37">
        <f t="shared" si="123"/>
        <v>0</v>
      </c>
      <c r="AJ126" s="37">
        <f t="shared" si="124"/>
        <v>0</v>
      </c>
      <c r="AK126" s="37">
        <f t="shared" si="125"/>
        <v>0</v>
      </c>
      <c r="AL126" s="37">
        <f t="shared" si="126"/>
        <v>0</v>
      </c>
      <c r="AM126" s="120">
        <v>0</v>
      </c>
    </row>
    <row r="127" spans="1:39" s="91" customFormat="1" ht="15.6">
      <c r="A127" s="87" t="s">
        <v>92</v>
      </c>
      <c r="B127" s="92" t="s">
        <v>121</v>
      </c>
      <c r="C127" s="38" t="s">
        <v>1169</v>
      </c>
      <c r="D127" s="38" t="s">
        <v>1168</v>
      </c>
      <c r="E127" s="116" t="s">
        <v>1167</v>
      </c>
      <c r="F127" s="83" t="s">
        <v>637</v>
      </c>
      <c r="G127" s="89" t="s">
        <v>73</v>
      </c>
      <c r="H127" s="89">
        <v>7</v>
      </c>
      <c r="I127" s="108">
        <v>88.5</v>
      </c>
      <c r="J127" s="88" t="s">
        <v>473</v>
      </c>
      <c r="K127" s="38" t="s">
        <v>138</v>
      </c>
      <c r="L127" s="38" t="s">
        <v>74</v>
      </c>
      <c r="M127" s="90" t="s">
        <v>2</v>
      </c>
      <c r="N127" s="84"/>
      <c r="O127" s="84"/>
      <c r="P127" s="84"/>
      <c r="Q127" s="84"/>
      <c r="R127" s="84">
        <f>12*9</f>
        <v>108</v>
      </c>
      <c r="S127" s="84">
        <v>225</v>
      </c>
      <c r="T127" s="84">
        <v>171</v>
      </c>
      <c r="U127" s="84">
        <v>216</v>
      </c>
      <c r="V127" s="84">
        <v>171</v>
      </c>
      <c r="W127" s="84">
        <v>171</v>
      </c>
      <c r="X127" s="84">
        <v>216</v>
      </c>
      <c r="Y127" s="84">
        <v>171</v>
      </c>
      <c r="Z127" s="38"/>
      <c r="AA127" s="37">
        <f t="shared" ref="AA127" si="139">$I127*N127</f>
        <v>0</v>
      </c>
      <c r="AB127" s="37">
        <f t="shared" ref="AB127" si="140">$I127*O127</f>
        <v>0</v>
      </c>
      <c r="AC127" s="37">
        <f t="shared" ref="AC127" si="141">$I127*P127</f>
        <v>0</v>
      </c>
      <c r="AD127" s="37">
        <f t="shared" ref="AD127" si="142">$I127*Q127</f>
        <v>0</v>
      </c>
      <c r="AE127" s="37">
        <f t="shared" ref="AE127" si="143">$I127*R127</f>
        <v>9558</v>
      </c>
      <c r="AF127" s="37">
        <f t="shared" ref="AF127" si="144">$I127*S127</f>
        <v>19912.5</v>
      </c>
      <c r="AG127" s="37">
        <f t="shared" ref="AG127" si="145">$I127*T127</f>
        <v>15133.5</v>
      </c>
      <c r="AH127" s="37">
        <f t="shared" ref="AH127" si="146">$I127*U127</f>
        <v>19116</v>
      </c>
      <c r="AI127" s="37">
        <f t="shared" ref="AI127" si="147">$I127*V127</f>
        <v>15133.5</v>
      </c>
      <c r="AJ127" s="37">
        <f t="shared" ref="AJ127" si="148">$I127*W127</f>
        <v>15133.5</v>
      </c>
      <c r="AK127" s="37">
        <f t="shared" ref="AK127" si="149">$I127*X127</f>
        <v>19116</v>
      </c>
      <c r="AL127" s="37">
        <f t="shared" ref="AL127" si="150">$I127*Y127</f>
        <v>15133.5</v>
      </c>
      <c r="AM127" s="120">
        <v>1</v>
      </c>
    </row>
    <row r="128" spans="1:39" s="91" customFormat="1" ht="15.6">
      <c r="A128" s="87" t="s">
        <v>92</v>
      </c>
      <c r="B128" s="92" t="s">
        <v>121</v>
      </c>
      <c r="C128" s="96" t="s">
        <v>167</v>
      </c>
      <c r="D128" s="96" t="s">
        <v>896</v>
      </c>
      <c r="E128" s="88" t="s">
        <v>168</v>
      </c>
      <c r="F128" s="83" t="s">
        <v>29</v>
      </c>
      <c r="G128" s="89" t="s">
        <v>49</v>
      </c>
      <c r="H128" s="89" t="s">
        <v>31</v>
      </c>
      <c r="I128" s="108">
        <v>30.5</v>
      </c>
      <c r="J128" s="88" t="s">
        <v>473</v>
      </c>
      <c r="K128" s="38" t="s">
        <v>138</v>
      </c>
      <c r="L128" s="38" t="s">
        <v>34</v>
      </c>
      <c r="M128" s="90" t="s">
        <v>1</v>
      </c>
      <c r="N128" s="84">
        <v>165.87</v>
      </c>
      <c r="O128" s="84">
        <v>165.87</v>
      </c>
      <c r="P128" s="84">
        <v>209.51999999999998</v>
      </c>
      <c r="Q128" s="84">
        <v>174.6</v>
      </c>
      <c r="R128" s="84">
        <v>165.87</v>
      </c>
      <c r="S128" s="84">
        <f>207-27</f>
        <v>180</v>
      </c>
      <c r="T128" s="84">
        <v>174.6</v>
      </c>
      <c r="U128" s="84">
        <v>218.25</v>
      </c>
      <c r="V128" s="84">
        <v>165.87</v>
      </c>
      <c r="W128" s="84">
        <v>157.13999999999999</v>
      </c>
      <c r="X128" s="84">
        <v>218.25</v>
      </c>
      <c r="Y128" s="84">
        <v>165.87</v>
      </c>
      <c r="Z128" s="38"/>
      <c r="AA128" s="37">
        <f t="shared" si="115"/>
        <v>5059.0349999999999</v>
      </c>
      <c r="AB128" s="37">
        <f t="shared" si="116"/>
        <v>5059.0349999999999</v>
      </c>
      <c r="AC128" s="37">
        <f t="shared" si="117"/>
        <v>6390.36</v>
      </c>
      <c r="AD128" s="37">
        <f t="shared" si="118"/>
        <v>5325.3</v>
      </c>
      <c r="AE128" s="37">
        <f t="shared" si="119"/>
        <v>5059.0349999999999</v>
      </c>
      <c r="AF128" s="37">
        <f t="shared" si="120"/>
        <v>5490</v>
      </c>
      <c r="AG128" s="37">
        <f t="shared" si="121"/>
        <v>5325.3</v>
      </c>
      <c r="AH128" s="37">
        <f t="shared" si="122"/>
        <v>6656.625</v>
      </c>
      <c r="AI128" s="37">
        <f t="shared" si="123"/>
        <v>5059.0349999999999</v>
      </c>
      <c r="AJ128" s="37">
        <f t="shared" si="124"/>
        <v>4792.7699999999995</v>
      </c>
      <c r="AK128" s="37">
        <f t="shared" si="125"/>
        <v>6656.625</v>
      </c>
      <c r="AL128" s="37">
        <f t="shared" si="126"/>
        <v>5059.0349999999999</v>
      </c>
      <c r="AM128" s="120">
        <v>1</v>
      </c>
    </row>
    <row r="129" spans="1:39" s="91" customFormat="1" ht="15.6">
      <c r="A129" s="87" t="s">
        <v>92</v>
      </c>
      <c r="B129" s="92" t="s">
        <v>121</v>
      </c>
      <c r="C129" s="96" t="s">
        <v>480</v>
      </c>
      <c r="D129" s="96" t="s">
        <v>897</v>
      </c>
      <c r="E129" s="88" t="s">
        <v>479</v>
      </c>
      <c r="F129" s="83" t="s">
        <v>29</v>
      </c>
      <c r="G129" s="83" t="s">
        <v>674</v>
      </c>
      <c r="H129" s="89" t="s">
        <v>36</v>
      </c>
      <c r="I129" s="108">
        <v>23</v>
      </c>
      <c r="J129" s="88" t="s">
        <v>473</v>
      </c>
      <c r="K129" s="38" t="s">
        <v>169</v>
      </c>
      <c r="L129" s="88" t="s">
        <v>34</v>
      </c>
      <c r="M129" s="90" t="s">
        <v>3</v>
      </c>
      <c r="N129" s="84">
        <v>166.84</v>
      </c>
      <c r="O129" s="84">
        <v>166.84</v>
      </c>
      <c r="P129" s="84">
        <v>210.48999999999998</v>
      </c>
      <c r="Q129" s="84">
        <v>166.84</v>
      </c>
      <c r="R129" s="84">
        <v>166.84</v>
      </c>
      <c r="S129" s="84">
        <v>202.73</v>
      </c>
      <c r="T129" s="84">
        <v>174.6</v>
      </c>
      <c r="U129" s="84">
        <v>218.25</v>
      </c>
      <c r="V129" s="84">
        <v>166.84</v>
      </c>
      <c r="W129" s="84">
        <v>159.07999999999998</v>
      </c>
      <c r="X129" s="84">
        <v>210.48999999999998</v>
      </c>
      <c r="Y129" s="84">
        <v>166.84</v>
      </c>
      <c r="Z129" s="38"/>
      <c r="AA129" s="37">
        <f t="shared" si="115"/>
        <v>3837.32</v>
      </c>
      <c r="AB129" s="37">
        <f t="shared" si="116"/>
        <v>3837.32</v>
      </c>
      <c r="AC129" s="37">
        <f t="shared" si="117"/>
        <v>4841.2699999999995</v>
      </c>
      <c r="AD129" s="37">
        <f t="shared" si="118"/>
        <v>3837.32</v>
      </c>
      <c r="AE129" s="37">
        <f t="shared" si="119"/>
        <v>3837.32</v>
      </c>
      <c r="AF129" s="37">
        <f t="shared" si="120"/>
        <v>4662.79</v>
      </c>
      <c r="AG129" s="37">
        <f t="shared" si="121"/>
        <v>4015.7999999999997</v>
      </c>
      <c r="AH129" s="37">
        <f t="shared" si="122"/>
        <v>5019.75</v>
      </c>
      <c r="AI129" s="37">
        <f t="shared" si="123"/>
        <v>3837.32</v>
      </c>
      <c r="AJ129" s="37">
        <f t="shared" si="124"/>
        <v>3658.8399999999997</v>
      </c>
      <c r="AK129" s="37">
        <f t="shared" si="125"/>
        <v>4841.2699999999995</v>
      </c>
      <c r="AL129" s="37">
        <f t="shared" si="126"/>
        <v>3837.32</v>
      </c>
      <c r="AM129" s="120">
        <v>1</v>
      </c>
    </row>
    <row r="130" spans="1:39" s="91" customFormat="1" ht="15.6">
      <c r="A130" s="87" t="s">
        <v>92</v>
      </c>
      <c r="B130" s="92" t="s">
        <v>121</v>
      </c>
      <c r="C130" s="96" t="s">
        <v>170</v>
      </c>
      <c r="D130" s="96" t="s">
        <v>898</v>
      </c>
      <c r="E130" s="88" t="s">
        <v>171</v>
      </c>
      <c r="F130" s="83" t="s">
        <v>29</v>
      </c>
      <c r="G130" s="83" t="s">
        <v>30</v>
      </c>
      <c r="H130" s="89" t="s">
        <v>31</v>
      </c>
      <c r="I130" s="108">
        <v>30.5</v>
      </c>
      <c r="J130" s="88" t="s">
        <v>473</v>
      </c>
      <c r="K130" s="38" t="s">
        <v>138</v>
      </c>
      <c r="L130" s="38" t="s">
        <v>34</v>
      </c>
      <c r="M130" s="90" t="s">
        <v>1</v>
      </c>
      <c r="N130" s="84">
        <v>165.87</v>
      </c>
      <c r="O130" s="84">
        <v>165.87</v>
      </c>
      <c r="P130" s="84">
        <v>209.51999999999998</v>
      </c>
      <c r="Q130" s="84">
        <v>174.6</v>
      </c>
      <c r="R130" s="84">
        <v>165.87</v>
      </c>
      <c r="S130" s="84">
        <f>200.79-9</f>
        <v>191.79</v>
      </c>
      <c r="T130" s="84">
        <v>174.6</v>
      </c>
      <c r="U130" s="84">
        <v>218.25</v>
      </c>
      <c r="V130" s="84">
        <v>165.87</v>
      </c>
      <c r="W130" s="84">
        <v>157.13999999999999</v>
      </c>
      <c r="X130" s="84">
        <v>218.25</v>
      </c>
      <c r="Y130" s="84">
        <v>165.87</v>
      </c>
      <c r="Z130" s="38"/>
      <c r="AA130" s="37">
        <f t="shared" si="115"/>
        <v>5059.0349999999999</v>
      </c>
      <c r="AB130" s="37">
        <f t="shared" si="116"/>
        <v>5059.0349999999999</v>
      </c>
      <c r="AC130" s="37">
        <f t="shared" si="117"/>
        <v>6390.36</v>
      </c>
      <c r="AD130" s="37">
        <f t="shared" si="118"/>
        <v>5325.3</v>
      </c>
      <c r="AE130" s="37">
        <f t="shared" si="119"/>
        <v>5059.0349999999999</v>
      </c>
      <c r="AF130" s="37">
        <f t="shared" si="120"/>
        <v>5849.5949999999993</v>
      </c>
      <c r="AG130" s="37">
        <f t="shared" si="121"/>
        <v>5325.3</v>
      </c>
      <c r="AH130" s="37">
        <f t="shared" si="122"/>
        <v>6656.625</v>
      </c>
      <c r="AI130" s="37">
        <f t="shared" si="123"/>
        <v>5059.0349999999999</v>
      </c>
      <c r="AJ130" s="37">
        <f t="shared" si="124"/>
        <v>4792.7699999999995</v>
      </c>
      <c r="AK130" s="37">
        <f t="shared" si="125"/>
        <v>6656.625</v>
      </c>
      <c r="AL130" s="37">
        <f t="shared" si="126"/>
        <v>5059.0349999999999</v>
      </c>
      <c r="AM130" s="120">
        <v>1</v>
      </c>
    </row>
    <row r="131" spans="1:39" s="91" customFormat="1" ht="15.6">
      <c r="A131" s="87" t="s">
        <v>92</v>
      </c>
      <c r="B131" s="92" t="s">
        <v>121</v>
      </c>
      <c r="C131" s="96" t="s">
        <v>172</v>
      </c>
      <c r="D131" s="96" t="s">
        <v>899</v>
      </c>
      <c r="E131" s="111" t="s">
        <v>173</v>
      </c>
      <c r="F131" s="83" t="s">
        <v>29</v>
      </c>
      <c r="G131" s="89" t="s">
        <v>39</v>
      </c>
      <c r="H131" s="89" t="s">
        <v>31</v>
      </c>
      <c r="I131" s="108">
        <v>37.5</v>
      </c>
      <c r="J131" s="88" t="s">
        <v>473</v>
      </c>
      <c r="K131" s="38" t="s">
        <v>138</v>
      </c>
      <c r="L131" s="38" t="s">
        <v>34</v>
      </c>
      <c r="M131" s="90" t="s">
        <v>1</v>
      </c>
      <c r="N131" s="84">
        <v>165.87</v>
      </c>
      <c r="O131" s="84">
        <v>165.87</v>
      </c>
      <c r="P131" s="84">
        <v>45</v>
      </c>
      <c r="Q131" s="84"/>
      <c r="R131" s="84"/>
      <c r="S131" s="84"/>
      <c r="T131" s="84"/>
      <c r="U131" s="84"/>
      <c r="V131" s="84"/>
      <c r="W131" s="84"/>
      <c r="X131" s="84"/>
      <c r="Y131" s="84"/>
      <c r="Z131" s="38" t="s">
        <v>708</v>
      </c>
      <c r="AA131" s="37">
        <f t="shared" si="115"/>
        <v>6220.125</v>
      </c>
      <c r="AB131" s="37">
        <f t="shared" si="116"/>
        <v>6220.125</v>
      </c>
      <c r="AC131" s="37">
        <f t="shared" si="117"/>
        <v>1687.5</v>
      </c>
      <c r="AD131" s="37">
        <f t="shared" si="118"/>
        <v>0</v>
      </c>
      <c r="AE131" s="37">
        <f t="shared" si="119"/>
        <v>0</v>
      </c>
      <c r="AF131" s="37">
        <f t="shared" si="120"/>
        <v>0</v>
      </c>
      <c r="AG131" s="37">
        <f t="shared" si="121"/>
        <v>0</v>
      </c>
      <c r="AH131" s="37">
        <f t="shared" si="122"/>
        <v>0</v>
      </c>
      <c r="AI131" s="37">
        <f t="shared" si="123"/>
        <v>0</v>
      </c>
      <c r="AJ131" s="37">
        <f t="shared" si="124"/>
        <v>0</v>
      </c>
      <c r="AK131" s="37">
        <f t="shared" si="125"/>
        <v>0</v>
      </c>
      <c r="AL131" s="37">
        <f t="shared" si="126"/>
        <v>0</v>
      </c>
      <c r="AM131" s="120">
        <v>0</v>
      </c>
    </row>
    <row r="132" spans="1:39" s="91" customFormat="1" ht="15.6">
      <c r="A132" s="87" t="s">
        <v>92</v>
      </c>
      <c r="B132" s="92" t="s">
        <v>121</v>
      </c>
      <c r="C132" s="96" t="s">
        <v>1073</v>
      </c>
      <c r="D132" s="96" t="s">
        <v>1071</v>
      </c>
      <c r="E132" s="88" t="s">
        <v>1072</v>
      </c>
      <c r="F132" s="83" t="s">
        <v>29</v>
      </c>
      <c r="G132" s="89" t="s">
        <v>49</v>
      </c>
      <c r="H132" s="89" t="s">
        <v>31</v>
      </c>
      <c r="I132" s="108">
        <v>30.5</v>
      </c>
      <c r="J132" s="88" t="s">
        <v>473</v>
      </c>
      <c r="K132" s="38" t="s">
        <v>138</v>
      </c>
      <c r="L132" s="38" t="s">
        <v>34</v>
      </c>
      <c r="M132" s="90" t="s">
        <v>1</v>
      </c>
      <c r="N132" s="84"/>
      <c r="O132" s="84">
        <f>9*13</f>
        <v>117</v>
      </c>
      <c r="P132" s="84">
        <v>209.51999999999998</v>
      </c>
      <c r="Q132" s="84">
        <v>174.6</v>
      </c>
      <c r="R132" s="84">
        <v>165.87</v>
      </c>
      <c r="S132" s="84">
        <v>200.79</v>
      </c>
      <c r="T132" s="84">
        <v>174.6</v>
      </c>
      <c r="U132" s="84">
        <v>218.25</v>
      </c>
      <c r="V132" s="84">
        <v>165.87</v>
      </c>
      <c r="W132" s="84">
        <v>157.13999999999999</v>
      </c>
      <c r="X132" s="84">
        <v>218.25</v>
      </c>
      <c r="Y132" s="84">
        <v>165.87</v>
      </c>
      <c r="Z132" s="38" t="s">
        <v>709</v>
      </c>
      <c r="AA132" s="37">
        <f t="shared" si="115"/>
        <v>0</v>
      </c>
      <c r="AB132" s="37">
        <f t="shared" si="116"/>
        <v>3568.5</v>
      </c>
      <c r="AC132" s="37">
        <f t="shared" si="117"/>
        <v>6390.36</v>
      </c>
      <c r="AD132" s="37">
        <f t="shared" si="118"/>
        <v>5325.3</v>
      </c>
      <c r="AE132" s="37">
        <f t="shared" si="119"/>
        <v>5059.0349999999999</v>
      </c>
      <c r="AF132" s="37">
        <f t="shared" si="120"/>
        <v>6124.0949999999993</v>
      </c>
      <c r="AG132" s="37">
        <f t="shared" si="121"/>
        <v>5325.3</v>
      </c>
      <c r="AH132" s="37">
        <f t="shared" si="122"/>
        <v>6656.625</v>
      </c>
      <c r="AI132" s="37">
        <f t="shared" si="123"/>
        <v>5059.0349999999999</v>
      </c>
      <c r="AJ132" s="37">
        <f t="shared" si="124"/>
        <v>4792.7699999999995</v>
      </c>
      <c r="AK132" s="37">
        <f t="shared" si="125"/>
        <v>6656.625</v>
      </c>
      <c r="AL132" s="37">
        <f t="shared" si="126"/>
        <v>5059.0349999999999</v>
      </c>
      <c r="AM132" s="120">
        <v>1</v>
      </c>
    </row>
    <row r="133" spans="1:39" s="91" customFormat="1" ht="15.6">
      <c r="A133" s="87" t="s">
        <v>92</v>
      </c>
      <c r="B133" s="92" t="s">
        <v>121</v>
      </c>
      <c r="C133" s="96" t="s">
        <v>174</v>
      </c>
      <c r="D133" s="96" t="s">
        <v>900</v>
      </c>
      <c r="E133" s="88" t="s">
        <v>175</v>
      </c>
      <c r="F133" s="83" t="s">
        <v>29</v>
      </c>
      <c r="G133" s="83" t="s">
        <v>30</v>
      </c>
      <c r="H133" s="89">
        <v>8</v>
      </c>
      <c r="I133" s="108">
        <v>41</v>
      </c>
      <c r="J133" s="88" t="s">
        <v>473</v>
      </c>
      <c r="K133" s="38" t="s">
        <v>138</v>
      </c>
      <c r="L133" s="38" t="s">
        <v>34</v>
      </c>
      <c r="M133" s="90" t="s">
        <v>1</v>
      </c>
      <c r="N133" s="84">
        <v>165.87</v>
      </c>
      <c r="O133" s="84">
        <v>165.87</v>
      </c>
      <c r="P133" s="84">
        <v>209.51999999999998</v>
      </c>
      <c r="Q133" s="84">
        <v>165.87</v>
      </c>
      <c r="R133" s="84">
        <v>165.87</v>
      </c>
      <c r="S133" s="84">
        <f>209.52-18</f>
        <v>191.52</v>
      </c>
      <c r="T133" s="84">
        <v>174.6</v>
      </c>
      <c r="U133" s="84">
        <v>218.25</v>
      </c>
      <c r="V133" s="84">
        <v>165.87</v>
      </c>
      <c r="W133" s="84">
        <v>157.13999999999999</v>
      </c>
      <c r="X133" s="84">
        <v>218.25</v>
      </c>
      <c r="Y133" s="84">
        <v>165.87</v>
      </c>
      <c r="Z133" s="38"/>
      <c r="AA133" s="37">
        <f t="shared" si="115"/>
        <v>6800.67</v>
      </c>
      <c r="AB133" s="37">
        <f t="shared" si="116"/>
        <v>6800.67</v>
      </c>
      <c r="AC133" s="37">
        <f t="shared" si="117"/>
        <v>8590.32</v>
      </c>
      <c r="AD133" s="37">
        <f t="shared" si="118"/>
        <v>6800.67</v>
      </c>
      <c r="AE133" s="37">
        <f t="shared" si="119"/>
        <v>6800.67</v>
      </c>
      <c r="AF133" s="37">
        <f t="shared" si="120"/>
        <v>7852.3200000000006</v>
      </c>
      <c r="AG133" s="37">
        <f t="shared" si="121"/>
        <v>7158.5999999999995</v>
      </c>
      <c r="AH133" s="37">
        <f t="shared" si="122"/>
        <v>8948.25</v>
      </c>
      <c r="AI133" s="37">
        <f t="shared" si="123"/>
        <v>6800.67</v>
      </c>
      <c r="AJ133" s="37">
        <f t="shared" si="124"/>
        <v>6442.74</v>
      </c>
      <c r="AK133" s="37">
        <f t="shared" si="125"/>
        <v>8948.25</v>
      </c>
      <c r="AL133" s="37">
        <f t="shared" si="126"/>
        <v>6800.67</v>
      </c>
      <c r="AM133" s="120">
        <v>1</v>
      </c>
    </row>
    <row r="134" spans="1:39" s="91" customFormat="1" ht="15.6">
      <c r="A134" s="87" t="s">
        <v>92</v>
      </c>
      <c r="B134" s="92" t="s">
        <v>121</v>
      </c>
      <c r="C134" s="96" t="s">
        <v>176</v>
      </c>
      <c r="D134" s="96" t="s">
        <v>901</v>
      </c>
      <c r="E134" s="88" t="s">
        <v>177</v>
      </c>
      <c r="F134" s="83" t="s">
        <v>29</v>
      </c>
      <c r="G134" s="89" t="s">
        <v>49</v>
      </c>
      <c r="H134" s="89" t="s">
        <v>31</v>
      </c>
      <c r="I134" s="108">
        <v>30.5</v>
      </c>
      <c r="J134" s="88" t="s">
        <v>473</v>
      </c>
      <c r="K134" s="38" t="s">
        <v>138</v>
      </c>
      <c r="L134" s="38" t="s">
        <v>34</v>
      </c>
      <c r="M134" s="90" t="s">
        <v>1</v>
      </c>
      <c r="N134" s="84">
        <v>165.87</v>
      </c>
      <c r="O134" s="84">
        <v>165.87</v>
      </c>
      <c r="P134" s="84">
        <v>209.51999999999998</v>
      </c>
      <c r="Q134" s="84">
        <v>174.6</v>
      </c>
      <c r="R134" s="84">
        <f>171-27</f>
        <v>144</v>
      </c>
      <c r="S134" s="84">
        <f>207-18</f>
        <v>189</v>
      </c>
      <c r="T134" s="84">
        <v>174.6</v>
      </c>
      <c r="U134" s="84">
        <v>218.25</v>
      </c>
      <c r="V134" s="84">
        <v>165.87</v>
      </c>
      <c r="W134" s="84">
        <v>157.13999999999999</v>
      </c>
      <c r="X134" s="84">
        <v>218.25</v>
      </c>
      <c r="Y134" s="84">
        <v>165.87</v>
      </c>
      <c r="Z134" s="38"/>
      <c r="AA134" s="37">
        <f t="shared" si="115"/>
        <v>5059.0349999999999</v>
      </c>
      <c r="AB134" s="37">
        <f t="shared" si="116"/>
        <v>5059.0349999999999</v>
      </c>
      <c r="AC134" s="37">
        <f t="shared" si="117"/>
        <v>6390.36</v>
      </c>
      <c r="AD134" s="37">
        <f t="shared" si="118"/>
        <v>5325.3</v>
      </c>
      <c r="AE134" s="37">
        <f t="shared" si="119"/>
        <v>4392</v>
      </c>
      <c r="AF134" s="37">
        <f t="shared" si="120"/>
        <v>5764.5</v>
      </c>
      <c r="AG134" s="37">
        <f t="shared" si="121"/>
        <v>5325.3</v>
      </c>
      <c r="AH134" s="37">
        <f t="shared" si="122"/>
        <v>6656.625</v>
      </c>
      <c r="AI134" s="37">
        <f t="shared" si="123"/>
        <v>5059.0349999999999</v>
      </c>
      <c r="AJ134" s="37">
        <f t="shared" si="124"/>
        <v>4792.7699999999995</v>
      </c>
      <c r="AK134" s="37">
        <f t="shared" si="125"/>
        <v>6656.625</v>
      </c>
      <c r="AL134" s="37">
        <f t="shared" si="126"/>
        <v>5059.0349999999999</v>
      </c>
      <c r="AM134" s="120">
        <v>1</v>
      </c>
    </row>
    <row r="135" spans="1:39" s="91" customFormat="1" ht="15.6">
      <c r="A135" s="87" t="s">
        <v>92</v>
      </c>
      <c r="B135" s="92" t="s">
        <v>121</v>
      </c>
      <c r="C135" s="88" t="s">
        <v>178</v>
      </c>
      <c r="D135" s="88" t="s">
        <v>902</v>
      </c>
      <c r="E135" s="88" t="s">
        <v>179</v>
      </c>
      <c r="F135" s="83" t="s">
        <v>29</v>
      </c>
      <c r="G135" s="83" t="s">
        <v>30</v>
      </c>
      <c r="H135" s="89" t="s">
        <v>36</v>
      </c>
      <c r="I135" s="108">
        <v>29.5</v>
      </c>
      <c r="J135" s="88" t="s">
        <v>473</v>
      </c>
      <c r="K135" s="38" t="s">
        <v>126</v>
      </c>
      <c r="L135" s="38" t="s">
        <v>34</v>
      </c>
      <c r="M135" s="90" t="s">
        <v>1</v>
      </c>
      <c r="N135" s="84">
        <v>165.87</v>
      </c>
      <c r="O135" s="84">
        <v>165.87</v>
      </c>
      <c r="P135" s="84">
        <v>209.51999999999998</v>
      </c>
      <c r="Q135" s="84">
        <v>165.87</v>
      </c>
      <c r="R135" s="84">
        <v>165.87</v>
      </c>
      <c r="S135" s="84">
        <v>209.51999999999998</v>
      </c>
      <c r="T135" s="84">
        <v>174.6</v>
      </c>
      <c r="U135" s="84">
        <v>218.25</v>
      </c>
      <c r="V135" s="84">
        <v>165.87</v>
      </c>
      <c r="W135" s="84">
        <v>157.13999999999999</v>
      </c>
      <c r="X135" s="84">
        <v>218.25</v>
      </c>
      <c r="Y135" s="84">
        <v>165.87</v>
      </c>
      <c r="Z135" s="38"/>
      <c r="AA135" s="37">
        <f t="shared" si="115"/>
        <v>4893.165</v>
      </c>
      <c r="AB135" s="37">
        <f t="shared" si="116"/>
        <v>4893.165</v>
      </c>
      <c r="AC135" s="37">
        <f t="shared" si="117"/>
        <v>6180.8399999999992</v>
      </c>
      <c r="AD135" s="37">
        <f t="shared" si="118"/>
        <v>4893.165</v>
      </c>
      <c r="AE135" s="37">
        <f t="shared" si="119"/>
        <v>4893.165</v>
      </c>
      <c r="AF135" s="37">
        <f t="shared" si="120"/>
        <v>6180.8399999999992</v>
      </c>
      <c r="AG135" s="37">
        <f t="shared" si="121"/>
        <v>5150.7</v>
      </c>
      <c r="AH135" s="37">
        <f t="shared" si="122"/>
        <v>6438.375</v>
      </c>
      <c r="AI135" s="37">
        <f t="shared" si="123"/>
        <v>4893.165</v>
      </c>
      <c r="AJ135" s="37">
        <f t="shared" si="124"/>
        <v>4635.6299999999992</v>
      </c>
      <c r="AK135" s="37">
        <f t="shared" si="125"/>
        <v>6438.375</v>
      </c>
      <c r="AL135" s="37">
        <f t="shared" si="126"/>
        <v>4893.165</v>
      </c>
      <c r="AM135" s="120">
        <v>1</v>
      </c>
    </row>
    <row r="136" spans="1:39" s="91" customFormat="1" ht="15.6">
      <c r="A136" s="87" t="s">
        <v>92</v>
      </c>
      <c r="B136" s="92" t="s">
        <v>121</v>
      </c>
      <c r="C136" s="88" t="s">
        <v>123</v>
      </c>
      <c r="D136" s="88" t="s">
        <v>903</v>
      </c>
      <c r="E136" s="88" t="s">
        <v>124</v>
      </c>
      <c r="F136" s="89" t="s">
        <v>72</v>
      </c>
      <c r="G136" s="89" t="s">
        <v>73</v>
      </c>
      <c r="H136" s="89">
        <v>6</v>
      </c>
      <c r="I136" s="108">
        <v>136</v>
      </c>
      <c r="J136" s="88" t="s">
        <v>473</v>
      </c>
      <c r="K136" s="38" t="s">
        <v>126</v>
      </c>
      <c r="L136" s="38" t="s">
        <v>74</v>
      </c>
      <c r="M136" s="90" t="s">
        <v>2</v>
      </c>
      <c r="N136" s="84">
        <v>152</v>
      </c>
      <c r="O136" s="84">
        <v>152</v>
      </c>
      <c r="P136" s="84">
        <v>192</v>
      </c>
      <c r="Q136" s="84">
        <v>160</v>
      </c>
      <c r="R136" s="84">
        <v>152</v>
      </c>
      <c r="S136" s="84">
        <v>200</v>
      </c>
      <c r="T136" s="84">
        <v>152</v>
      </c>
      <c r="U136" s="84">
        <v>192</v>
      </c>
      <c r="V136" s="84">
        <v>152</v>
      </c>
      <c r="W136" s="84">
        <v>152</v>
      </c>
      <c r="X136" s="84">
        <v>192</v>
      </c>
      <c r="Y136" s="84">
        <v>152</v>
      </c>
      <c r="Z136" s="38"/>
      <c r="AA136" s="37">
        <f t="shared" si="115"/>
        <v>20672</v>
      </c>
      <c r="AB136" s="37">
        <f t="shared" si="116"/>
        <v>20672</v>
      </c>
      <c r="AC136" s="37">
        <f t="shared" si="117"/>
        <v>26112</v>
      </c>
      <c r="AD136" s="37">
        <f t="shared" si="118"/>
        <v>21760</v>
      </c>
      <c r="AE136" s="37">
        <f t="shared" si="119"/>
        <v>20672</v>
      </c>
      <c r="AF136" s="37">
        <f t="shared" si="120"/>
        <v>27200</v>
      </c>
      <c r="AG136" s="37">
        <f t="shared" si="121"/>
        <v>20672</v>
      </c>
      <c r="AH136" s="37">
        <f t="shared" si="122"/>
        <v>26112</v>
      </c>
      <c r="AI136" s="37">
        <f t="shared" si="123"/>
        <v>20672</v>
      </c>
      <c r="AJ136" s="37">
        <f t="shared" si="124"/>
        <v>20672</v>
      </c>
      <c r="AK136" s="37">
        <f t="shared" si="125"/>
        <v>26112</v>
      </c>
      <c r="AL136" s="37">
        <f t="shared" si="126"/>
        <v>20672</v>
      </c>
      <c r="AM136" s="120">
        <v>1</v>
      </c>
    </row>
    <row r="137" spans="1:39" s="91" customFormat="1" ht="15.6">
      <c r="A137" s="87" t="s">
        <v>92</v>
      </c>
      <c r="B137" s="92" t="s">
        <v>121</v>
      </c>
      <c r="C137" s="96" t="s">
        <v>251</v>
      </c>
      <c r="D137" s="96" t="s">
        <v>904</v>
      </c>
      <c r="E137" s="38" t="s">
        <v>252</v>
      </c>
      <c r="F137" s="89" t="s">
        <v>29</v>
      </c>
      <c r="G137" s="89" t="s">
        <v>49</v>
      </c>
      <c r="H137" s="89" t="s">
        <v>36</v>
      </c>
      <c r="I137" s="108">
        <v>29.5</v>
      </c>
      <c r="J137" s="88" t="s">
        <v>473</v>
      </c>
      <c r="K137" s="38" t="s">
        <v>138</v>
      </c>
      <c r="L137" s="38" t="s">
        <v>34</v>
      </c>
      <c r="M137" s="90" t="s">
        <v>1</v>
      </c>
      <c r="N137" s="84">
        <v>165.87</v>
      </c>
      <c r="O137" s="84">
        <v>165.87</v>
      </c>
      <c r="P137" s="84">
        <v>209.51999999999998</v>
      </c>
      <c r="Q137" s="84">
        <v>174.6</v>
      </c>
      <c r="R137" s="84">
        <v>165.87</v>
      </c>
      <c r="S137" s="84">
        <v>200.79</v>
      </c>
      <c r="T137" s="84">
        <v>174.6</v>
      </c>
      <c r="U137" s="84">
        <v>218.25</v>
      </c>
      <c r="V137" s="84">
        <v>165.87</v>
      </c>
      <c r="W137" s="84">
        <v>157.13999999999999</v>
      </c>
      <c r="X137" s="84">
        <v>218.25</v>
      </c>
      <c r="Y137" s="84">
        <v>165.87</v>
      </c>
      <c r="Z137" s="38"/>
      <c r="AA137" s="37">
        <f t="shared" si="115"/>
        <v>4893.165</v>
      </c>
      <c r="AB137" s="37">
        <f t="shared" si="116"/>
        <v>4893.165</v>
      </c>
      <c r="AC137" s="37">
        <f t="shared" si="117"/>
        <v>6180.8399999999992</v>
      </c>
      <c r="AD137" s="37">
        <f t="shared" si="118"/>
        <v>5150.7</v>
      </c>
      <c r="AE137" s="37">
        <f t="shared" si="119"/>
        <v>4893.165</v>
      </c>
      <c r="AF137" s="37">
        <f t="shared" si="120"/>
        <v>5923.3049999999994</v>
      </c>
      <c r="AG137" s="37">
        <f t="shared" si="121"/>
        <v>5150.7</v>
      </c>
      <c r="AH137" s="37">
        <f t="shared" si="122"/>
        <v>6438.375</v>
      </c>
      <c r="AI137" s="37">
        <f t="shared" si="123"/>
        <v>4893.165</v>
      </c>
      <c r="AJ137" s="37">
        <f t="shared" si="124"/>
        <v>4635.6299999999992</v>
      </c>
      <c r="AK137" s="37">
        <f t="shared" si="125"/>
        <v>6438.375</v>
      </c>
      <c r="AL137" s="37">
        <f t="shared" si="126"/>
        <v>4893.165</v>
      </c>
      <c r="AM137" s="120">
        <v>1</v>
      </c>
    </row>
    <row r="138" spans="1:39" s="91" customFormat="1" ht="15.6">
      <c r="A138" s="87" t="s">
        <v>92</v>
      </c>
      <c r="B138" s="92" t="s">
        <v>121</v>
      </c>
      <c r="C138" s="100" t="s">
        <v>255</v>
      </c>
      <c r="D138" s="100" t="s">
        <v>905</v>
      </c>
      <c r="E138" s="111" t="s">
        <v>256</v>
      </c>
      <c r="F138" s="83" t="s">
        <v>29</v>
      </c>
      <c r="G138" s="89" t="s">
        <v>191</v>
      </c>
      <c r="H138" s="89" t="s">
        <v>31</v>
      </c>
      <c r="I138" s="108">
        <v>37</v>
      </c>
      <c r="J138" s="88" t="s">
        <v>473</v>
      </c>
      <c r="K138" s="38" t="s">
        <v>126</v>
      </c>
      <c r="L138" s="38" t="s">
        <v>34</v>
      </c>
      <c r="M138" s="90" t="s">
        <v>1</v>
      </c>
      <c r="N138" s="84">
        <v>165.87</v>
      </c>
      <c r="O138" s="84">
        <v>165.87</v>
      </c>
      <c r="P138" s="84">
        <f>209.52-45</f>
        <v>164.52</v>
      </c>
      <c r="Q138" s="84">
        <v>0</v>
      </c>
      <c r="R138" s="84">
        <v>0</v>
      </c>
      <c r="S138" s="84">
        <v>0</v>
      </c>
      <c r="T138" s="84">
        <v>0</v>
      </c>
      <c r="U138" s="84">
        <v>0</v>
      </c>
      <c r="V138" s="84">
        <v>0</v>
      </c>
      <c r="W138" s="84">
        <v>0</v>
      </c>
      <c r="X138" s="84">
        <v>0</v>
      </c>
      <c r="Y138" s="84">
        <v>0</v>
      </c>
      <c r="Z138" s="38" t="s">
        <v>1095</v>
      </c>
      <c r="AA138" s="37">
        <f t="shared" si="115"/>
        <v>6137.1900000000005</v>
      </c>
      <c r="AB138" s="37">
        <f t="shared" si="116"/>
        <v>6137.1900000000005</v>
      </c>
      <c r="AC138" s="37">
        <f t="shared" si="117"/>
        <v>6087.2400000000007</v>
      </c>
      <c r="AD138" s="37">
        <f t="shared" si="118"/>
        <v>0</v>
      </c>
      <c r="AE138" s="37">
        <f t="shared" si="119"/>
        <v>0</v>
      </c>
      <c r="AF138" s="37">
        <f t="shared" si="120"/>
        <v>0</v>
      </c>
      <c r="AG138" s="37">
        <f t="shared" si="121"/>
        <v>0</v>
      </c>
      <c r="AH138" s="37">
        <f t="shared" si="122"/>
        <v>0</v>
      </c>
      <c r="AI138" s="37">
        <f t="shared" si="123"/>
        <v>0</v>
      </c>
      <c r="AJ138" s="37">
        <f t="shared" si="124"/>
        <v>0</v>
      </c>
      <c r="AK138" s="37">
        <f t="shared" si="125"/>
        <v>0</v>
      </c>
      <c r="AL138" s="37">
        <f t="shared" si="126"/>
        <v>0</v>
      </c>
      <c r="AM138" s="120">
        <v>0</v>
      </c>
    </row>
    <row r="139" spans="1:39" s="91" customFormat="1" ht="15.6">
      <c r="A139" s="87" t="s">
        <v>92</v>
      </c>
      <c r="B139" s="92" t="s">
        <v>121</v>
      </c>
      <c r="C139" s="110" t="s">
        <v>1070</v>
      </c>
      <c r="D139" s="100" t="s">
        <v>1068</v>
      </c>
      <c r="E139" s="88" t="s">
        <v>1069</v>
      </c>
      <c r="F139" s="83" t="s">
        <v>29</v>
      </c>
      <c r="G139" s="89" t="s">
        <v>100</v>
      </c>
      <c r="H139" s="89" t="s">
        <v>31</v>
      </c>
      <c r="I139" s="108">
        <v>30.5</v>
      </c>
      <c r="J139" s="88" t="s">
        <v>473</v>
      </c>
      <c r="K139" s="38" t="s">
        <v>126</v>
      </c>
      <c r="L139" s="38" t="s">
        <v>34</v>
      </c>
      <c r="M139" s="90" t="s">
        <v>1</v>
      </c>
      <c r="N139" s="84"/>
      <c r="O139" s="84"/>
      <c r="P139" s="84">
        <v>209.51999999999998</v>
      </c>
      <c r="Q139" s="84">
        <v>174.6</v>
      </c>
      <c r="R139" s="84">
        <v>165.87</v>
      </c>
      <c r="S139" s="84">
        <v>200.79</v>
      </c>
      <c r="T139" s="84">
        <v>174.6</v>
      </c>
      <c r="U139" s="84">
        <v>218.25</v>
      </c>
      <c r="V139" s="84">
        <v>165.87</v>
      </c>
      <c r="W139" s="84">
        <v>157.13999999999999</v>
      </c>
      <c r="X139" s="84">
        <v>218.25</v>
      </c>
      <c r="Y139" s="84">
        <v>165.87</v>
      </c>
      <c r="Z139" s="38" t="s">
        <v>1067</v>
      </c>
      <c r="AA139" s="37">
        <f t="shared" si="115"/>
        <v>0</v>
      </c>
      <c r="AB139" s="37">
        <f t="shared" si="116"/>
        <v>0</v>
      </c>
      <c r="AC139" s="37">
        <f t="shared" si="117"/>
        <v>6390.36</v>
      </c>
      <c r="AD139" s="37">
        <f t="shared" si="118"/>
        <v>5325.3</v>
      </c>
      <c r="AE139" s="37">
        <f t="shared" si="119"/>
        <v>5059.0349999999999</v>
      </c>
      <c r="AF139" s="37">
        <f t="shared" si="120"/>
        <v>6124.0949999999993</v>
      </c>
      <c r="AG139" s="37">
        <f t="shared" si="121"/>
        <v>5325.3</v>
      </c>
      <c r="AH139" s="37">
        <f t="shared" si="122"/>
        <v>6656.625</v>
      </c>
      <c r="AI139" s="37">
        <f t="shared" si="123"/>
        <v>5059.0349999999999</v>
      </c>
      <c r="AJ139" s="37">
        <f t="shared" si="124"/>
        <v>4792.7699999999995</v>
      </c>
      <c r="AK139" s="37">
        <f t="shared" si="125"/>
        <v>6656.625</v>
      </c>
      <c r="AL139" s="37">
        <f t="shared" si="126"/>
        <v>5059.0349999999999</v>
      </c>
      <c r="AM139" s="120">
        <v>1</v>
      </c>
    </row>
    <row r="140" spans="1:39" s="91" customFormat="1" ht="15.6">
      <c r="A140" s="87" t="s">
        <v>92</v>
      </c>
      <c r="B140" s="92" t="s">
        <v>121</v>
      </c>
      <c r="C140" s="38" t="s">
        <v>624</v>
      </c>
      <c r="D140" s="38" t="s">
        <v>906</v>
      </c>
      <c r="E140" s="88" t="s">
        <v>623</v>
      </c>
      <c r="F140" s="89" t="s">
        <v>29</v>
      </c>
      <c r="G140" s="83" t="s">
        <v>49</v>
      </c>
      <c r="H140" s="83" t="s">
        <v>31</v>
      </c>
      <c r="I140" s="108">
        <v>30.5</v>
      </c>
      <c r="J140" s="88" t="s">
        <v>473</v>
      </c>
      <c r="K140" s="38" t="s">
        <v>169</v>
      </c>
      <c r="L140" s="38" t="s">
        <v>34</v>
      </c>
      <c r="M140" s="90" t="s">
        <v>1</v>
      </c>
      <c r="N140" s="84">
        <v>165.87</v>
      </c>
      <c r="O140" s="84">
        <v>165.87</v>
      </c>
      <c r="P140" s="84">
        <v>209.51999999999998</v>
      </c>
      <c r="Q140" s="84">
        <v>174.6</v>
      </c>
      <c r="R140" s="84">
        <v>165.87</v>
      </c>
      <c r="S140" s="84">
        <f>207-18</f>
        <v>189</v>
      </c>
      <c r="T140" s="84">
        <v>174.6</v>
      </c>
      <c r="U140" s="84">
        <v>218.25</v>
      </c>
      <c r="V140" s="84">
        <v>165.87</v>
      </c>
      <c r="W140" s="84">
        <v>157.13999999999999</v>
      </c>
      <c r="X140" s="84">
        <v>218.25</v>
      </c>
      <c r="Y140" s="84">
        <v>165.87</v>
      </c>
      <c r="Z140" s="38"/>
      <c r="AA140" s="37">
        <f t="shared" si="115"/>
        <v>5059.0349999999999</v>
      </c>
      <c r="AB140" s="37">
        <f t="shared" si="116"/>
        <v>5059.0349999999999</v>
      </c>
      <c r="AC140" s="37">
        <f t="shared" si="117"/>
        <v>6390.36</v>
      </c>
      <c r="AD140" s="37">
        <f t="shared" si="118"/>
        <v>5325.3</v>
      </c>
      <c r="AE140" s="37">
        <f t="shared" si="119"/>
        <v>5059.0349999999999</v>
      </c>
      <c r="AF140" s="37">
        <f t="shared" si="120"/>
        <v>5764.5</v>
      </c>
      <c r="AG140" s="37">
        <f t="shared" si="121"/>
        <v>5325.3</v>
      </c>
      <c r="AH140" s="37">
        <f t="shared" si="122"/>
        <v>6656.625</v>
      </c>
      <c r="AI140" s="37">
        <f t="shared" si="123"/>
        <v>5059.0349999999999</v>
      </c>
      <c r="AJ140" s="37">
        <f t="shared" si="124"/>
        <v>4792.7699999999995</v>
      </c>
      <c r="AK140" s="37">
        <f t="shared" si="125"/>
        <v>6656.625</v>
      </c>
      <c r="AL140" s="37">
        <f t="shared" si="126"/>
        <v>5059.0349999999999</v>
      </c>
      <c r="AM140" s="120">
        <v>1</v>
      </c>
    </row>
    <row r="141" spans="1:39" s="91" customFormat="1" ht="15.6">
      <c r="A141" s="87" t="s">
        <v>92</v>
      </c>
      <c r="B141" s="92" t="s">
        <v>121</v>
      </c>
      <c r="C141" s="88" t="s">
        <v>214</v>
      </c>
      <c r="D141" s="88" t="s">
        <v>907</v>
      </c>
      <c r="E141" s="38" t="s">
        <v>215</v>
      </c>
      <c r="F141" s="89" t="s">
        <v>72</v>
      </c>
      <c r="G141" s="89" t="s">
        <v>73</v>
      </c>
      <c r="H141" s="89">
        <v>7</v>
      </c>
      <c r="I141" s="108">
        <v>112</v>
      </c>
      <c r="J141" s="88" t="s">
        <v>91</v>
      </c>
      <c r="K141" s="38" t="s">
        <v>122</v>
      </c>
      <c r="L141" s="38" t="s">
        <v>74</v>
      </c>
      <c r="M141" s="90" t="s">
        <v>2</v>
      </c>
      <c r="N141" s="84">
        <v>152</v>
      </c>
      <c r="O141" s="84">
        <v>152</v>
      </c>
      <c r="P141" s="84">
        <v>192</v>
      </c>
      <c r="Q141" s="84">
        <v>160</v>
      </c>
      <c r="R141" s="84">
        <v>152</v>
      </c>
      <c r="S141" s="84">
        <v>200</v>
      </c>
      <c r="T141" s="84">
        <v>152</v>
      </c>
      <c r="U141" s="84">
        <v>192</v>
      </c>
      <c r="V141" s="84">
        <v>152</v>
      </c>
      <c r="W141" s="84">
        <v>152</v>
      </c>
      <c r="X141" s="84">
        <v>192</v>
      </c>
      <c r="Y141" s="84">
        <v>152</v>
      </c>
      <c r="Z141" s="38"/>
      <c r="AA141" s="37">
        <f t="shared" si="115"/>
        <v>17024</v>
      </c>
      <c r="AB141" s="37">
        <f t="shared" si="116"/>
        <v>17024</v>
      </c>
      <c r="AC141" s="37">
        <f t="shared" si="117"/>
        <v>21504</v>
      </c>
      <c r="AD141" s="37">
        <f t="shared" si="118"/>
        <v>17920</v>
      </c>
      <c r="AE141" s="37">
        <f t="shared" si="119"/>
        <v>17024</v>
      </c>
      <c r="AF141" s="37">
        <f t="shared" si="120"/>
        <v>22400</v>
      </c>
      <c r="AG141" s="37">
        <f t="shared" si="121"/>
        <v>17024</v>
      </c>
      <c r="AH141" s="37">
        <f t="shared" si="122"/>
        <v>21504</v>
      </c>
      <c r="AI141" s="37">
        <f t="shared" si="123"/>
        <v>17024</v>
      </c>
      <c r="AJ141" s="37">
        <f t="shared" si="124"/>
        <v>17024</v>
      </c>
      <c r="AK141" s="37">
        <f t="shared" si="125"/>
        <v>21504</v>
      </c>
      <c r="AL141" s="37">
        <f t="shared" si="126"/>
        <v>17024</v>
      </c>
      <c r="AM141" s="120">
        <v>1</v>
      </c>
    </row>
    <row r="142" spans="1:39" s="91" customFormat="1" ht="15.6">
      <c r="A142" s="87" t="s">
        <v>92</v>
      </c>
      <c r="B142" s="92" t="s">
        <v>121</v>
      </c>
      <c r="C142" s="38" t="s">
        <v>557</v>
      </c>
      <c r="D142" s="38" t="s">
        <v>908</v>
      </c>
      <c r="E142" s="38" t="s">
        <v>211</v>
      </c>
      <c r="F142" s="83" t="s">
        <v>72</v>
      </c>
      <c r="G142" s="89" t="s">
        <v>73</v>
      </c>
      <c r="H142" s="89">
        <v>7</v>
      </c>
      <c r="I142" s="108">
        <v>160</v>
      </c>
      <c r="J142" s="88" t="s">
        <v>473</v>
      </c>
      <c r="K142" s="38" t="s">
        <v>138</v>
      </c>
      <c r="L142" s="38" t="s">
        <v>74</v>
      </c>
      <c r="M142" s="90" t="s">
        <v>2</v>
      </c>
      <c r="N142" s="84">
        <v>152</v>
      </c>
      <c r="O142" s="84">
        <v>152</v>
      </c>
      <c r="P142" s="84">
        <v>192</v>
      </c>
      <c r="Q142" s="84">
        <v>160</v>
      </c>
      <c r="R142" s="84">
        <v>152</v>
      </c>
      <c r="S142" s="84">
        <v>200</v>
      </c>
      <c r="T142" s="84">
        <v>152</v>
      </c>
      <c r="U142" s="84">
        <v>192</v>
      </c>
      <c r="V142" s="84">
        <v>152</v>
      </c>
      <c r="W142" s="84">
        <v>152</v>
      </c>
      <c r="X142" s="84">
        <v>192</v>
      </c>
      <c r="Y142" s="84">
        <v>152</v>
      </c>
      <c r="Z142" s="38"/>
      <c r="AA142" s="37">
        <f t="shared" si="115"/>
        <v>24320</v>
      </c>
      <c r="AB142" s="37">
        <f t="shared" si="116"/>
        <v>24320</v>
      </c>
      <c r="AC142" s="37">
        <f t="shared" si="117"/>
        <v>30720</v>
      </c>
      <c r="AD142" s="37">
        <f t="shared" si="118"/>
        <v>25600</v>
      </c>
      <c r="AE142" s="37">
        <f t="shared" si="119"/>
        <v>24320</v>
      </c>
      <c r="AF142" s="37">
        <f t="shared" si="120"/>
        <v>32000</v>
      </c>
      <c r="AG142" s="37">
        <f t="shared" si="121"/>
        <v>24320</v>
      </c>
      <c r="AH142" s="37">
        <f t="shared" si="122"/>
        <v>30720</v>
      </c>
      <c r="AI142" s="37">
        <f t="shared" si="123"/>
        <v>24320</v>
      </c>
      <c r="AJ142" s="37">
        <f t="shared" si="124"/>
        <v>24320</v>
      </c>
      <c r="AK142" s="37">
        <f t="shared" si="125"/>
        <v>30720</v>
      </c>
      <c r="AL142" s="37">
        <f t="shared" si="126"/>
        <v>24320</v>
      </c>
      <c r="AM142" s="120">
        <v>1</v>
      </c>
    </row>
    <row r="143" spans="1:39" s="91" customFormat="1" ht="15.6">
      <c r="A143" s="87" t="s">
        <v>92</v>
      </c>
      <c r="B143" s="92" t="s">
        <v>121</v>
      </c>
      <c r="C143" s="96" t="s">
        <v>766</v>
      </c>
      <c r="D143" s="96" t="s">
        <v>780</v>
      </c>
      <c r="E143" s="88" t="s">
        <v>765</v>
      </c>
      <c r="F143" s="89" t="s">
        <v>29</v>
      </c>
      <c r="G143" s="83" t="s">
        <v>35</v>
      </c>
      <c r="H143" s="89" t="s">
        <v>31</v>
      </c>
      <c r="I143" s="108">
        <v>30.5</v>
      </c>
      <c r="J143" s="88" t="s">
        <v>473</v>
      </c>
      <c r="K143" s="38" t="s">
        <v>169</v>
      </c>
      <c r="L143" s="38" t="s">
        <v>34</v>
      </c>
      <c r="M143" s="90" t="s">
        <v>1</v>
      </c>
      <c r="N143" s="84"/>
      <c r="O143" s="84">
        <v>165.87</v>
      </c>
      <c r="P143" s="84">
        <v>200.79</v>
      </c>
      <c r="Q143" s="84">
        <v>174.6</v>
      </c>
      <c r="R143" s="84">
        <v>165.87</v>
      </c>
      <c r="S143" s="84">
        <v>209.51999999999998</v>
      </c>
      <c r="T143" s="84">
        <v>174.6</v>
      </c>
      <c r="U143" s="84">
        <v>218.25</v>
      </c>
      <c r="V143" s="84">
        <v>165.87</v>
      </c>
      <c r="W143" s="84">
        <v>157.13999999999999</v>
      </c>
      <c r="X143" s="84">
        <v>209.51999999999998</v>
      </c>
      <c r="Y143" s="84">
        <v>165.87</v>
      </c>
      <c r="Z143" s="38" t="s">
        <v>710</v>
      </c>
      <c r="AA143" s="37">
        <f t="shared" si="115"/>
        <v>0</v>
      </c>
      <c r="AB143" s="37">
        <f t="shared" si="116"/>
        <v>5059.0349999999999</v>
      </c>
      <c r="AC143" s="37">
        <f t="shared" si="117"/>
        <v>6124.0949999999993</v>
      </c>
      <c r="AD143" s="37">
        <f t="shared" si="118"/>
        <v>5325.3</v>
      </c>
      <c r="AE143" s="37">
        <f t="shared" si="119"/>
        <v>5059.0349999999999</v>
      </c>
      <c r="AF143" s="37">
        <f t="shared" si="120"/>
        <v>6390.36</v>
      </c>
      <c r="AG143" s="37">
        <f t="shared" si="121"/>
        <v>5325.3</v>
      </c>
      <c r="AH143" s="37">
        <f t="shared" si="122"/>
        <v>6656.625</v>
      </c>
      <c r="AI143" s="37">
        <f t="shared" si="123"/>
        <v>5059.0349999999999</v>
      </c>
      <c r="AJ143" s="37">
        <f t="shared" si="124"/>
        <v>4792.7699999999995</v>
      </c>
      <c r="AK143" s="37">
        <f t="shared" si="125"/>
        <v>6390.36</v>
      </c>
      <c r="AL143" s="37">
        <f t="shared" si="126"/>
        <v>5059.0349999999999</v>
      </c>
      <c r="AM143" s="120">
        <v>1</v>
      </c>
    </row>
    <row r="144" spans="1:39" s="46" customFormat="1" ht="15.6">
      <c r="A144" s="39" t="s">
        <v>92</v>
      </c>
      <c r="B144" s="40" t="s">
        <v>121</v>
      </c>
      <c r="C144" s="41" t="s">
        <v>4</v>
      </c>
      <c r="D144" s="41" t="s">
        <v>4</v>
      </c>
      <c r="E144" s="41" t="s">
        <v>4</v>
      </c>
      <c r="F144" s="40" t="s">
        <v>4</v>
      </c>
      <c r="G144" s="40" t="s">
        <v>4</v>
      </c>
      <c r="H144" s="42"/>
      <c r="I144" s="108"/>
      <c r="J144" s="41" t="s">
        <v>4</v>
      </c>
      <c r="K144" s="41" t="s">
        <v>4</v>
      </c>
      <c r="L144" s="41" t="s">
        <v>4</v>
      </c>
      <c r="M144" s="41" t="s">
        <v>4</v>
      </c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79"/>
      <c r="AA144" s="44">
        <f t="shared" ref="AA144:AL144" si="151">((SUMIFS(AA1:AA391, $B$1:$B$391,"RAK0J", $F$1:$F$391,"India")*0.15)+SUMIFS(AA1:AA391, $B$1:$B$391,"RAK0J", $F$1:$F$391,"PH")*0.15)</f>
        <v>53465.436749999993</v>
      </c>
      <c r="AB144" s="44">
        <f t="shared" si="151"/>
        <v>54541.839749999985</v>
      </c>
      <c r="AC144" s="44">
        <f t="shared" si="151"/>
        <v>69862.253249999965</v>
      </c>
      <c r="AD144" s="44">
        <f t="shared" si="151"/>
        <v>54009.075749999996</v>
      </c>
      <c r="AE144" s="44">
        <f t="shared" si="151"/>
        <v>51342.902249999985</v>
      </c>
      <c r="AF144" s="44">
        <f t="shared" si="151"/>
        <v>64421.928749999963</v>
      </c>
      <c r="AG144" s="44">
        <f t="shared" si="151"/>
        <v>54593.054999999986</v>
      </c>
      <c r="AH144" s="44">
        <f t="shared" si="151"/>
        <v>66842.118000000002</v>
      </c>
      <c r="AI144" s="44">
        <f t="shared" si="151"/>
        <v>50379.229499999987</v>
      </c>
      <c r="AJ144" s="44">
        <f t="shared" si="151"/>
        <v>48170.248499999987</v>
      </c>
      <c r="AK144" s="44">
        <f t="shared" si="151"/>
        <v>65814.305999999997</v>
      </c>
      <c r="AL144" s="44">
        <f t="shared" si="151"/>
        <v>49945.784999999989</v>
      </c>
      <c r="AM144" s="45"/>
    </row>
    <row r="145" spans="1:39" s="46" customFormat="1" ht="15.6">
      <c r="A145" s="39" t="s">
        <v>92</v>
      </c>
      <c r="B145" s="40" t="s">
        <v>121</v>
      </c>
      <c r="C145" s="41" t="s">
        <v>5</v>
      </c>
      <c r="D145" s="41" t="s">
        <v>5</v>
      </c>
      <c r="E145" s="41" t="s">
        <v>5</v>
      </c>
      <c r="F145" s="40" t="s">
        <v>5</v>
      </c>
      <c r="G145" s="40" t="s">
        <v>5</v>
      </c>
      <c r="H145" s="42"/>
      <c r="I145" s="108"/>
      <c r="J145" s="41" t="s">
        <v>5</v>
      </c>
      <c r="K145" s="41" t="s">
        <v>5</v>
      </c>
      <c r="L145" s="41" t="s">
        <v>5</v>
      </c>
      <c r="M145" s="41" t="s">
        <v>5</v>
      </c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79"/>
      <c r="AA145" s="44">
        <v>28000</v>
      </c>
      <c r="AB145" s="44">
        <v>8000</v>
      </c>
      <c r="AC145" s="44">
        <v>10000</v>
      </c>
      <c r="AD145" s="44">
        <v>8000</v>
      </c>
      <c r="AE145" s="44">
        <v>8000</v>
      </c>
      <c r="AF145" s="44">
        <v>10000</v>
      </c>
      <c r="AG145" s="44">
        <v>8000</v>
      </c>
      <c r="AH145" s="44">
        <v>8000</v>
      </c>
      <c r="AI145" s="44">
        <v>10000</v>
      </c>
      <c r="AJ145" s="44">
        <v>8000</v>
      </c>
      <c r="AK145" s="44">
        <v>8000</v>
      </c>
      <c r="AL145" s="44">
        <v>10000</v>
      </c>
      <c r="AM145" s="45"/>
    </row>
    <row r="146" spans="1:39" s="46" customFormat="1" ht="15.6">
      <c r="A146" s="39" t="s">
        <v>92</v>
      </c>
      <c r="B146" s="40" t="s">
        <v>121</v>
      </c>
      <c r="C146" s="41" t="s">
        <v>6</v>
      </c>
      <c r="D146" s="41" t="s">
        <v>6</v>
      </c>
      <c r="E146" s="41" t="s">
        <v>6</v>
      </c>
      <c r="F146" s="40" t="s">
        <v>6</v>
      </c>
      <c r="G146" s="40" t="s">
        <v>6</v>
      </c>
      <c r="H146" s="42"/>
      <c r="I146" s="108"/>
      <c r="J146" s="41" t="s">
        <v>6</v>
      </c>
      <c r="K146" s="41" t="s">
        <v>6</v>
      </c>
      <c r="L146" s="41" t="s">
        <v>6</v>
      </c>
      <c r="M146" s="41" t="s">
        <v>6</v>
      </c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79"/>
      <c r="AA146" s="44">
        <f>(54*30*4*0.6)</f>
        <v>3888</v>
      </c>
      <c r="AB146" s="44">
        <f>(54*30*4*0.6)</f>
        <v>3888</v>
      </c>
      <c r="AC146" s="44">
        <f>(54*30*5*0.6)</f>
        <v>4860</v>
      </c>
      <c r="AD146" s="44">
        <f>(54*30*4*0.6)</f>
        <v>3888</v>
      </c>
      <c r="AE146" s="44">
        <f>(54*30*4*0.6)</f>
        <v>3888</v>
      </c>
      <c r="AF146" s="44">
        <f>(54*30*5*0.6)</f>
        <v>4860</v>
      </c>
      <c r="AG146" s="44">
        <f>(54*30*4*0.6)</f>
        <v>3888</v>
      </c>
      <c r="AH146" s="44">
        <f>(54*30*5*0.6)</f>
        <v>4860</v>
      </c>
      <c r="AI146" s="44">
        <f>(54*30*4*0.6)</f>
        <v>3888</v>
      </c>
      <c r="AJ146" s="44">
        <f>(54*30*4*0.6)</f>
        <v>3888</v>
      </c>
      <c r="AK146" s="44">
        <f>(54*30*5*0.6)</f>
        <v>4860</v>
      </c>
      <c r="AL146" s="44">
        <f>(54*30*4*0.6)</f>
        <v>3888</v>
      </c>
      <c r="AM146" s="45"/>
    </row>
    <row r="147" spans="1:39" s="91" customFormat="1" ht="15.6">
      <c r="A147" s="87" t="s">
        <v>92</v>
      </c>
      <c r="B147" s="92" t="s">
        <v>750</v>
      </c>
      <c r="C147" s="38" t="s">
        <v>746</v>
      </c>
      <c r="D147" s="38" t="s">
        <v>909</v>
      </c>
      <c r="E147" s="88" t="s">
        <v>745</v>
      </c>
      <c r="F147" s="83" t="s">
        <v>112</v>
      </c>
      <c r="G147" s="83" t="s">
        <v>588</v>
      </c>
      <c r="H147" s="89">
        <v>8</v>
      </c>
      <c r="I147" s="108">
        <v>132.5</v>
      </c>
      <c r="J147" s="88" t="s">
        <v>91</v>
      </c>
      <c r="K147" s="38" t="s">
        <v>749</v>
      </c>
      <c r="L147" s="38" t="s">
        <v>34</v>
      </c>
      <c r="M147" s="90" t="s">
        <v>1</v>
      </c>
      <c r="N147" s="84">
        <v>171</v>
      </c>
      <c r="O147" s="84">
        <v>171</v>
      </c>
      <c r="P147" s="84">
        <v>216</v>
      </c>
      <c r="Q147" s="84">
        <v>180</v>
      </c>
      <c r="R147" s="84">
        <v>171</v>
      </c>
      <c r="S147" s="84">
        <v>225</v>
      </c>
      <c r="T147" s="84">
        <v>171</v>
      </c>
      <c r="U147" s="84">
        <v>216</v>
      </c>
      <c r="V147" s="84">
        <v>171</v>
      </c>
      <c r="W147" s="84">
        <v>171</v>
      </c>
      <c r="X147" s="84">
        <v>216</v>
      </c>
      <c r="Y147" s="84">
        <v>171</v>
      </c>
      <c r="Z147" s="38"/>
      <c r="AA147" s="37">
        <f t="shared" ref="AA147:AA153" si="152">$I147*N147</f>
        <v>22657.5</v>
      </c>
      <c r="AB147" s="37">
        <f t="shared" ref="AB147:AB153" si="153">$I147*O147</f>
        <v>22657.5</v>
      </c>
      <c r="AC147" s="37">
        <f t="shared" ref="AC147:AC153" si="154">$I147*P147</f>
        <v>28620</v>
      </c>
      <c r="AD147" s="37">
        <f t="shared" ref="AD147:AD153" si="155">$I147*Q147</f>
        <v>23850</v>
      </c>
      <c r="AE147" s="37">
        <f t="shared" ref="AE147:AE153" si="156">$I147*R147</f>
        <v>22657.5</v>
      </c>
      <c r="AF147" s="37">
        <f t="shared" ref="AF147:AF153" si="157">$I147*S147</f>
        <v>29812.5</v>
      </c>
      <c r="AG147" s="37">
        <f t="shared" ref="AG147:AG153" si="158">$I147*T147</f>
        <v>22657.5</v>
      </c>
      <c r="AH147" s="37">
        <f t="shared" ref="AH147:AH153" si="159">$I147*U147</f>
        <v>28620</v>
      </c>
      <c r="AI147" s="37">
        <f t="shared" ref="AI147:AI153" si="160">$I147*V147</f>
        <v>22657.5</v>
      </c>
      <c r="AJ147" s="37">
        <f t="shared" ref="AJ147:AJ153" si="161">$I147*W147</f>
        <v>22657.5</v>
      </c>
      <c r="AK147" s="37">
        <f t="shared" ref="AK147:AK153" si="162">$I147*X147</f>
        <v>28620</v>
      </c>
      <c r="AL147" s="37">
        <f t="shared" ref="AL147:AL153" si="163">$I147*Y147</f>
        <v>22657.5</v>
      </c>
      <c r="AM147" s="120">
        <v>1</v>
      </c>
    </row>
    <row r="148" spans="1:39" s="91" customFormat="1" ht="15.6">
      <c r="A148" s="87" t="s">
        <v>92</v>
      </c>
      <c r="B148" s="92" t="s">
        <v>750</v>
      </c>
      <c r="C148" s="38">
        <v>62992</v>
      </c>
      <c r="D148" s="38" t="s">
        <v>791</v>
      </c>
      <c r="E148" s="88" t="s">
        <v>586</v>
      </c>
      <c r="F148" s="83" t="s">
        <v>587</v>
      </c>
      <c r="G148" s="83" t="s">
        <v>588</v>
      </c>
      <c r="H148" s="89">
        <v>8</v>
      </c>
      <c r="I148" s="108">
        <v>89</v>
      </c>
      <c r="J148" s="88" t="s">
        <v>91</v>
      </c>
      <c r="K148" s="38" t="s">
        <v>749</v>
      </c>
      <c r="L148" s="38" t="s">
        <v>34</v>
      </c>
      <c r="M148" s="90" t="s">
        <v>1</v>
      </c>
      <c r="N148" s="84">
        <v>171</v>
      </c>
      <c r="O148" s="84">
        <v>171</v>
      </c>
      <c r="P148" s="84">
        <v>216</v>
      </c>
      <c r="Q148" s="84">
        <v>180</v>
      </c>
      <c r="R148" s="84">
        <v>171</v>
      </c>
      <c r="S148" s="84">
        <v>225</v>
      </c>
      <c r="T148" s="84">
        <v>171</v>
      </c>
      <c r="U148" s="84">
        <v>216</v>
      </c>
      <c r="V148" s="84">
        <v>171</v>
      </c>
      <c r="W148" s="84">
        <v>171</v>
      </c>
      <c r="X148" s="84">
        <v>216</v>
      </c>
      <c r="Y148" s="84">
        <v>171</v>
      </c>
      <c r="Z148" s="38"/>
      <c r="AA148" s="37">
        <f t="shared" si="152"/>
        <v>15219</v>
      </c>
      <c r="AB148" s="37">
        <f t="shared" si="153"/>
        <v>15219</v>
      </c>
      <c r="AC148" s="37">
        <f t="shared" si="154"/>
        <v>19224</v>
      </c>
      <c r="AD148" s="37">
        <f t="shared" si="155"/>
        <v>16020</v>
      </c>
      <c r="AE148" s="37">
        <f t="shared" si="156"/>
        <v>15219</v>
      </c>
      <c r="AF148" s="37">
        <f t="shared" si="157"/>
        <v>20025</v>
      </c>
      <c r="AG148" s="37">
        <f t="shared" si="158"/>
        <v>15219</v>
      </c>
      <c r="AH148" s="37">
        <f t="shared" si="159"/>
        <v>19224</v>
      </c>
      <c r="AI148" s="37">
        <f t="shared" si="160"/>
        <v>15219</v>
      </c>
      <c r="AJ148" s="37">
        <f t="shared" si="161"/>
        <v>15219</v>
      </c>
      <c r="AK148" s="37">
        <f t="shared" si="162"/>
        <v>19224</v>
      </c>
      <c r="AL148" s="37">
        <f t="shared" si="163"/>
        <v>15219</v>
      </c>
      <c r="AM148" s="120">
        <v>1</v>
      </c>
    </row>
    <row r="149" spans="1:39" s="91" customFormat="1" ht="15.6">
      <c r="A149" s="87" t="s">
        <v>92</v>
      </c>
      <c r="B149" s="92" t="s">
        <v>750</v>
      </c>
      <c r="C149" s="96" t="s">
        <v>1190</v>
      </c>
      <c r="D149" s="96" t="s">
        <v>1189</v>
      </c>
      <c r="E149" s="38" t="s">
        <v>1186</v>
      </c>
      <c r="F149" s="83" t="s">
        <v>29</v>
      </c>
      <c r="G149" s="89" t="s">
        <v>49</v>
      </c>
      <c r="H149" s="89" t="s">
        <v>36</v>
      </c>
      <c r="I149" s="108">
        <v>14</v>
      </c>
      <c r="J149" s="38" t="s">
        <v>91</v>
      </c>
      <c r="K149" s="38" t="s">
        <v>749</v>
      </c>
      <c r="L149" s="38" t="s">
        <v>34</v>
      </c>
      <c r="M149" s="90" t="s">
        <v>1</v>
      </c>
      <c r="N149" s="84"/>
      <c r="O149" s="84"/>
      <c r="P149" s="84"/>
      <c r="Q149" s="84"/>
      <c r="R149" s="84"/>
      <c r="S149" s="84">
        <v>200.79</v>
      </c>
      <c r="T149" s="84">
        <v>174.6</v>
      </c>
      <c r="U149" s="84">
        <v>218.25</v>
      </c>
      <c r="V149" s="84">
        <v>165.87</v>
      </c>
      <c r="W149" s="84">
        <v>157.13999999999999</v>
      </c>
      <c r="X149" s="84">
        <v>218.25</v>
      </c>
      <c r="Y149" s="84">
        <v>165.87</v>
      </c>
      <c r="Z149" s="38"/>
      <c r="AA149" s="37">
        <f t="shared" si="152"/>
        <v>0</v>
      </c>
      <c r="AB149" s="37">
        <f t="shared" si="153"/>
        <v>0</v>
      </c>
      <c r="AC149" s="37">
        <f t="shared" si="154"/>
        <v>0</v>
      </c>
      <c r="AD149" s="37">
        <f t="shared" si="155"/>
        <v>0</v>
      </c>
      <c r="AE149" s="37">
        <f t="shared" si="156"/>
        <v>0</v>
      </c>
      <c r="AF149" s="37">
        <f t="shared" si="157"/>
        <v>2811.06</v>
      </c>
      <c r="AG149" s="37">
        <f t="shared" si="158"/>
        <v>2444.4</v>
      </c>
      <c r="AH149" s="37">
        <f t="shared" si="159"/>
        <v>3055.5</v>
      </c>
      <c r="AI149" s="37">
        <f t="shared" si="160"/>
        <v>2322.1800000000003</v>
      </c>
      <c r="AJ149" s="37">
        <f t="shared" si="161"/>
        <v>2199.96</v>
      </c>
      <c r="AK149" s="37">
        <f t="shared" si="162"/>
        <v>3055.5</v>
      </c>
      <c r="AL149" s="37">
        <f t="shared" si="163"/>
        <v>2322.1800000000003</v>
      </c>
      <c r="AM149" s="120">
        <v>1</v>
      </c>
    </row>
    <row r="150" spans="1:39" s="91" customFormat="1" ht="15.6">
      <c r="A150" s="87" t="s">
        <v>92</v>
      </c>
      <c r="B150" s="92" t="s">
        <v>750</v>
      </c>
      <c r="C150" s="96" t="s">
        <v>597</v>
      </c>
      <c r="D150" s="96" t="s">
        <v>910</v>
      </c>
      <c r="E150" s="38" t="s">
        <v>594</v>
      </c>
      <c r="F150" s="83" t="s">
        <v>29</v>
      </c>
      <c r="G150" s="89" t="s">
        <v>49</v>
      </c>
      <c r="H150" s="89" t="s">
        <v>60</v>
      </c>
      <c r="I150" s="108">
        <v>19</v>
      </c>
      <c r="J150" s="38" t="s">
        <v>91</v>
      </c>
      <c r="K150" s="38" t="s">
        <v>749</v>
      </c>
      <c r="L150" s="38" t="s">
        <v>34</v>
      </c>
      <c r="M150" s="90" t="s">
        <v>1</v>
      </c>
      <c r="N150" s="84">
        <v>165.87</v>
      </c>
      <c r="O150" s="84">
        <v>165.87</v>
      </c>
      <c r="P150" s="84">
        <v>209.51999999999998</v>
      </c>
      <c r="Q150" s="84">
        <v>174.6</v>
      </c>
      <c r="R150" s="84">
        <v>165.87</v>
      </c>
      <c r="S150" s="84">
        <v>200.79</v>
      </c>
      <c r="T150" s="84">
        <v>174.6</v>
      </c>
      <c r="U150" s="84">
        <v>218.25</v>
      </c>
      <c r="V150" s="84">
        <v>165.87</v>
      </c>
      <c r="W150" s="84">
        <v>157.13999999999999</v>
      </c>
      <c r="X150" s="84">
        <v>218.25</v>
      </c>
      <c r="Y150" s="84">
        <v>165.87</v>
      </c>
      <c r="Z150" s="38"/>
      <c r="AA150" s="37">
        <f t="shared" ref="AA150" si="164">$I150*N150</f>
        <v>3151.53</v>
      </c>
      <c r="AB150" s="37">
        <f t="shared" ref="AB150" si="165">$I150*O150</f>
        <v>3151.53</v>
      </c>
      <c r="AC150" s="37">
        <f t="shared" ref="AC150" si="166">$I150*P150</f>
        <v>3980.8799999999997</v>
      </c>
      <c r="AD150" s="37">
        <f t="shared" ref="AD150" si="167">$I150*Q150</f>
        <v>3317.4</v>
      </c>
      <c r="AE150" s="37">
        <f t="shared" ref="AE150" si="168">$I150*R150</f>
        <v>3151.53</v>
      </c>
      <c r="AF150" s="37">
        <f t="shared" ref="AF150" si="169">$I150*S150</f>
        <v>3815.0099999999998</v>
      </c>
      <c r="AG150" s="37">
        <f t="shared" ref="AG150" si="170">$I150*T150</f>
        <v>3317.4</v>
      </c>
      <c r="AH150" s="37">
        <f t="shared" ref="AH150" si="171">$I150*U150</f>
        <v>4146.75</v>
      </c>
      <c r="AI150" s="37">
        <f t="shared" ref="AI150" si="172">$I150*V150</f>
        <v>3151.53</v>
      </c>
      <c r="AJ150" s="37">
        <f t="shared" ref="AJ150" si="173">$I150*W150</f>
        <v>2985.66</v>
      </c>
      <c r="AK150" s="37">
        <f t="shared" ref="AK150" si="174">$I150*X150</f>
        <v>4146.75</v>
      </c>
      <c r="AL150" s="37">
        <f t="shared" ref="AL150" si="175">$I150*Y150</f>
        <v>3151.53</v>
      </c>
      <c r="AM150" s="120">
        <v>1</v>
      </c>
    </row>
    <row r="151" spans="1:39" s="91" customFormat="1" ht="15.6">
      <c r="A151" s="87" t="s">
        <v>92</v>
      </c>
      <c r="B151" s="92" t="s">
        <v>750</v>
      </c>
      <c r="C151" s="96" t="s">
        <v>1142</v>
      </c>
      <c r="D151" s="96" t="s">
        <v>1141</v>
      </c>
      <c r="E151" s="38" t="s">
        <v>1139</v>
      </c>
      <c r="F151" s="83" t="s">
        <v>29</v>
      </c>
      <c r="G151" s="89" t="s">
        <v>1140</v>
      </c>
      <c r="H151" s="89" t="s">
        <v>60</v>
      </c>
      <c r="I151" s="108">
        <v>17.5</v>
      </c>
      <c r="J151" s="38" t="s">
        <v>91</v>
      </c>
      <c r="K151" s="38" t="s">
        <v>749</v>
      </c>
      <c r="L151" s="38" t="s">
        <v>34</v>
      </c>
      <c r="M151" s="90" t="s">
        <v>1</v>
      </c>
      <c r="N151" s="84"/>
      <c r="O151" s="84"/>
      <c r="P151" s="84"/>
      <c r="Q151" s="84"/>
      <c r="R151" s="84">
        <v>165.87</v>
      </c>
      <c r="S151" s="84">
        <v>200.79</v>
      </c>
      <c r="T151" s="84">
        <v>174.6</v>
      </c>
      <c r="U151" s="84">
        <v>218.25</v>
      </c>
      <c r="V151" s="84">
        <v>165.87</v>
      </c>
      <c r="W151" s="84">
        <v>157.13999999999999</v>
      </c>
      <c r="X151" s="84">
        <v>218.25</v>
      </c>
      <c r="Y151" s="84">
        <v>165.87</v>
      </c>
      <c r="Z151" s="38"/>
      <c r="AA151" s="37">
        <f t="shared" si="152"/>
        <v>0</v>
      </c>
      <c r="AB151" s="37">
        <f t="shared" si="153"/>
        <v>0</v>
      </c>
      <c r="AC151" s="37">
        <f t="shared" si="154"/>
        <v>0</v>
      </c>
      <c r="AD151" s="37">
        <f t="shared" si="155"/>
        <v>0</v>
      </c>
      <c r="AE151" s="37">
        <f t="shared" si="156"/>
        <v>2902.7249999999999</v>
      </c>
      <c r="AF151" s="37">
        <f t="shared" si="157"/>
        <v>3513.8249999999998</v>
      </c>
      <c r="AG151" s="37">
        <f t="shared" si="158"/>
        <v>3055.5</v>
      </c>
      <c r="AH151" s="37">
        <f t="shared" si="159"/>
        <v>3819.375</v>
      </c>
      <c r="AI151" s="37">
        <f t="shared" si="160"/>
        <v>2902.7249999999999</v>
      </c>
      <c r="AJ151" s="37">
        <f t="shared" si="161"/>
        <v>2749.95</v>
      </c>
      <c r="AK151" s="37">
        <f t="shared" si="162"/>
        <v>3819.375</v>
      </c>
      <c r="AL151" s="37">
        <f t="shared" si="163"/>
        <v>2902.7249999999999</v>
      </c>
      <c r="AM151" s="120">
        <v>1</v>
      </c>
    </row>
    <row r="152" spans="1:39" s="91" customFormat="1" ht="15.6">
      <c r="A152" s="87" t="s">
        <v>92</v>
      </c>
      <c r="B152" s="92" t="s">
        <v>750</v>
      </c>
      <c r="C152" s="96" t="s">
        <v>595</v>
      </c>
      <c r="D152" s="96" t="s">
        <v>911</v>
      </c>
      <c r="E152" s="38" t="s">
        <v>592</v>
      </c>
      <c r="F152" s="83" t="s">
        <v>29</v>
      </c>
      <c r="G152" s="89" t="s">
        <v>35</v>
      </c>
      <c r="H152" s="89" t="s">
        <v>31</v>
      </c>
      <c r="I152" s="108">
        <v>30.5</v>
      </c>
      <c r="J152" s="38" t="s">
        <v>91</v>
      </c>
      <c r="K152" s="38" t="s">
        <v>749</v>
      </c>
      <c r="L152" s="38" t="s">
        <v>34</v>
      </c>
      <c r="M152" s="90" t="s">
        <v>1</v>
      </c>
      <c r="N152" s="36">
        <v>174.6</v>
      </c>
      <c r="O152" s="36">
        <v>165.87</v>
      </c>
      <c r="P152" s="36">
        <v>200.79</v>
      </c>
      <c r="Q152" s="36">
        <v>174.6</v>
      </c>
      <c r="R152" s="36">
        <v>165.87</v>
      </c>
      <c r="S152" s="36">
        <v>209.51999999999998</v>
      </c>
      <c r="T152" s="36">
        <v>174.6</v>
      </c>
      <c r="U152" s="36">
        <v>218.25</v>
      </c>
      <c r="V152" s="36">
        <v>165.87</v>
      </c>
      <c r="W152" s="36">
        <v>157.13999999999999</v>
      </c>
      <c r="X152" s="36">
        <v>209.51999999999998</v>
      </c>
      <c r="Y152" s="36">
        <v>165.87</v>
      </c>
      <c r="Z152" s="38"/>
      <c r="AA152" s="37">
        <f t="shared" si="152"/>
        <v>5325.3</v>
      </c>
      <c r="AB152" s="37">
        <f t="shared" si="153"/>
        <v>5059.0349999999999</v>
      </c>
      <c r="AC152" s="37">
        <f t="shared" si="154"/>
        <v>6124.0949999999993</v>
      </c>
      <c r="AD152" s="37">
        <f t="shared" si="155"/>
        <v>5325.3</v>
      </c>
      <c r="AE152" s="37">
        <f t="shared" si="156"/>
        <v>5059.0349999999999</v>
      </c>
      <c r="AF152" s="37">
        <f t="shared" si="157"/>
        <v>6390.36</v>
      </c>
      <c r="AG152" s="37">
        <f t="shared" si="158"/>
        <v>5325.3</v>
      </c>
      <c r="AH152" s="37">
        <f t="shared" si="159"/>
        <v>6656.625</v>
      </c>
      <c r="AI152" s="37">
        <f t="shared" si="160"/>
        <v>5059.0349999999999</v>
      </c>
      <c r="AJ152" s="37">
        <f t="shared" si="161"/>
        <v>4792.7699999999995</v>
      </c>
      <c r="AK152" s="37">
        <f t="shared" si="162"/>
        <v>6390.36</v>
      </c>
      <c r="AL152" s="37">
        <f t="shared" si="163"/>
        <v>5059.0349999999999</v>
      </c>
      <c r="AM152" s="120">
        <v>1</v>
      </c>
    </row>
    <row r="153" spans="1:39" s="91" customFormat="1" ht="15.6">
      <c r="A153" s="87" t="s">
        <v>92</v>
      </c>
      <c r="B153" s="92" t="s">
        <v>750</v>
      </c>
      <c r="C153" s="96" t="s">
        <v>596</v>
      </c>
      <c r="D153" s="96" t="s">
        <v>912</v>
      </c>
      <c r="E153" s="38" t="s">
        <v>593</v>
      </c>
      <c r="F153" s="83" t="s">
        <v>29</v>
      </c>
      <c r="G153" s="89" t="s">
        <v>35</v>
      </c>
      <c r="H153" s="89" t="s">
        <v>36</v>
      </c>
      <c r="I153" s="108">
        <v>24.5</v>
      </c>
      <c r="J153" s="38" t="s">
        <v>91</v>
      </c>
      <c r="K153" s="38" t="s">
        <v>749</v>
      </c>
      <c r="L153" s="38" t="s">
        <v>34</v>
      </c>
      <c r="M153" s="90" t="s">
        <v>1</v>
      </c>
      <c r="N153" s="36">
        <v>174.6</v>
      </c>
      <c r="O153" s="36">
        <v>165.87</v>
      </c>
      <c r="P153" s="36">
        <v>200.79</v>
      </c>
      <c r="Q153" s="36">
        <v>174.6</v>
      </c>
      <c r="R153" s="36">
        <v>148</v>
      </c>
      <c r="S153" s="36">
        <v>209.51999999999998</v>
      </c>
      <c r="T153" s="36">
        <v>174.6</v>
      </c>
      <c r="U153" s="36">
        <v>218.25</v>
      </c>
      <c r="V153" s="36">
        <v>165.87</v>
      </c>
      <c r="W153" s="36">
        <v>157.13999999999999</v>
      </c>
      <c r="X153" s="36">
        <v>209.51999999999998</v>
      </c>
      <c r="Y153" s="36">
        <v>165.87</v>
      </c>
      <c r="Z153" s="38"/>
      <c r="AA153" s="37">
        <f t="shared" si="152"/>
        <v>4277.7</v>
      </c>
      <c r="AB153" s="37">
        <f t="shared" si="153"/>
        <v>4063.8150000000001</v>
      </c>
      <c r="AC153" s="37">
        <f t="shared" si="154"/>
        <v>4919.3549999999996</v>
      </c>
      <c r="AD153" s="37">
        <f t="shared" si="155"/>
        <v>4277.7</v>
      </c>
      <c r="AE153" s="37">
        <f t="shared" si="156"/>
        <v>3626</v>
      </c>
      <c r="AF153" s="37">
        <f t="shared" si="157"/>
        <v>5133.24</v>
      </c>
      <c r="AG153" s="37">
        <f t="shared" si="158"/>
        <v>4277.7</v>
      </c>
      <c r="AH153" s="37">
        <f t="shared" si="159"/>
        <v>5347.125</v>
      </c>
      <c r="AI153" s="37">
        <f t="shared" si="160"/>
        <v>4063.8150000000001</v>
      </c>
      <c r="AJ153" s="37">
        <f t="shared" si="161"/>
        <v>3849.93</v>
      </c>
      <c r="AK153" s="37">
        <f t="shared" si="162"/>
        <v>5133.24</v>
      </c>
      <c r="AL153" s="37">
        <f t="shared" si="163"/>
        <v>4063.8150000000001</v>
      </c>
      <c r="AM153" s="120">
        <v>1</v>
      </c>
    </row>
    <row r="154" spans="1:39" s="46" customFormat="1" ht="15.6">
      <c r="A154" s="39" t="s">
        <v>92</v>
      </c>
      <c r="B154" s="40" t="s">
        <v>750</v>
      </c>
      <c r="C154" s="41" t="s">
        <v>4</v>
      </c>
      <c r="D154" s="41" t="s">
        <v>4</v>
      </c>
      <c r="E154" s="41" t="s">
        <v>4</v>
      </c>
      <c r="F154" s="40" t="s">
        <v>4</v>
      </c>
      <c r="G154" s="40" t="s">
        <v>4</v>
      </c>
      <c r="H154" s="42"/>
      <c r="I154" s="108"/>
      <c r="J154" s="41" t="s">
        <v>4</v>
      </c>
      <c r="K154" s="41" t="s">
        <v>4</v>
      </c>
      <c r="L154" s="41" t="s">
        <v>4</v>
      </c>
      <c r="M154" s="41" t="s">
        <v>4</v>
      </c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79"/>
      <c r="AA154" s="44">
        <f t="shared" ref="AA154:AL154" si="176">((SUMIFS(AA1:AA391, $B$1:$B$391,"RAT5N", $F$1:$F$391,"India")*0.15)+SUMIFS(AA1:AA391, $B$1:$B$391,"RAT5N", $F$1:$F$391,"PH")*0.15)</f>
        <v>1913.1794999999997</v>
      </c>
      <c r="AB154" s="44">
        <f t="shared" si="176"/>
        <v>1841.1570000000002</v>
      </c>
      <c r="AC154" s="44">
        <f t="shared" si="176"/>
        <v>2253.6494999999995</v>
      </c>
      <c r="AD154" s="44">
        <f t="shared" si="176"/>
        <v>1938.0600000000002</v>
      </c>
      <c r="AE154" s="44">
        <f t="shared" si="176"/>
        <v>2210.8935000000001</v>
      </c>
      <c r="AF154" s="44">
        <f t="shared" si="176"/>
        <v>3249.5242500000004</v>
      </c>
      <c r="AG154" s="44">
        <f t="shared" si="176"/>
        <v>2763.0449999999996</v>
      </c>
      <c r="AH154" s="44">
        <f t="shared" si="176"/>
        <v>3453.8062500000001</v>
      </c>
      <c r="AI154" s="44">
        <f t="shared" si="176"/>
        <v>2624.89275</v>
      </c>
      <c r="AJ154" s="44">
        <f t="shared" si="176"/>
        <v>2486.7404999999999</v>
      </c>
      <c r="AK154" s="44">
        <f t="shared" si="176"/>
        <v>3381.7837499999996</v>
      </c>
      <c r="AL154" s="44">
        <f t="shared" si="176"/>
        <v>2624.89275</v>
      </c>
      <c r="AM154" s="45"/>
    </row>
    <row r="155" spans="1:39" s="46" customFormat="1" ht="15.6">
      <c r="A155" s="39" t="s">
        <v>92</v>
      </c>
      <c r="B155" s="40" t="s">
        <v>750</v>
      </c>
      <c r="C155" s="41" t="s">
        <v>5</v>
      </c>
      <c r="D155" s="41" t="s">
        <v>5</v>
      </c>
      <c r="E155" s="41" t="s">
        <v>5</v>
      </c>
      <c r="F155" s="40" t="s">
        <v>5</v>
      </c>
      <c r="G155" s="40" t="s">
        <v>5</v>
      </c>
      <c r="H155" s="42"/>
      <c r="I155" s="108"/>
      <c r="J155" s="41" t="s">
        <v>5</v>
      </c>
      <c r="K155" s="41" t="s">
        <v>5</v>
      </c>
      <c r="L155" s="41" t="s">
        <v>5</v>
      </c>
      <c r="M155" s="41" t="s">
        <v>5</v>
      </c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79"/>
      <c r="AA155" s="44">
        <v>21000</v>
      </c>
      <c r="AB155" s="44">
        <v>1000</v>
      </c>
      <c r="AC155" s="44">
        <v>1200</v>
      </c>
      <c r="AD155" s="44">
        <v>1000</v>
      </c>
      <c r="AE155" s="44">
        <v>1000</v>
      </c>
      <c r="AF155" s="44">
        <v>1200</v>
      </c>
      <c r="AG155" s="44">
        <v>1000</v>
      </c>
      <c r="AH155" s="44">
        <v>1200</v>
      </c>
      <c r="AI155" s="44">
        <v>1000</v>
      </c>
      <c r="AJ155" s="44">
        <v>1000</v>
      </c>
      <c r="AK155" s="44">
        <v>1200</v>
      </c>
      <c r="AL155" s="44">
        <v>1000</v>
      </c>
      <c r="AM155" s="45"/>
    </row>
    <row r="156" spans="1:39" s="46" customFormat="1" ht="15.6">
      <c r="A156" s="39" t="s">
        <v>92</v>
      </c>
      <c r="B156" s="40" t="s">
        <v>750</v>
      </c>
      <c r="C156" s="41" t="s">
        <v>6</v>
      </c>
      <c r="D156" s="41" t="s">
        <v>6</v>
      </c>
      <c r="E156" s="41" t="s">
        <v>6</v>
      </c>
      <c r="F156" s="40" t="s">
        <v>6</v>
      </c>
      <c r="G156" s="40" t="s">
        <v>6</v>
      </c>
      <c r="H156" s="42"/>
      <c r="I156" s="108"/>
      <c r="J156" s="41" t="s">
        <v>6</v>
      </c>
      <c r="K156" s="41" t="s">
        <v>6</v>
      </c>
      <c r="L156" s="41" t="s">
        <v>6</v>
      </c>
      <c r="M156" s="41" t="s">
        <v>6</v>
      </c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79"/>
      <c r="AA156" s="44">
        <f>(54*30*4*0.6)</f>
        <v>3888</v>
      </c>
      <c r="AB156" s="44">
        <f>(54*30*4*0.6)</f>
        <v>3888</v>
      </c>
      <c r="AC156" s="44">
        <f>(54*30*5*0.6)</f>
        <v>4860</v>
      </c>
      <c r="AD156" s="44">
        <f>(54*30*4*0.6)</f>
        <v>3888</v>
      </c>
      <c r="AE156" s="44">
        <f>(54*30*4*0.6)</f>
        <v>3888</v>
      </c>
      <c r="AF156" s="44">
        <f>(54*30*5*0.6)</f>
        <v>4860</v>
      </c>
      <c r="AG156" s="44">
        <f>(54*30*4*0.6)</f>
        <v>3888</v>
      </c>
      <c r="AH156" s="44">
        <f>(54*30*5*0.6)</f>
        <v>4860</v>
      </c>
      <c r="AI156" s="44">
        <f>(54*30*4*0.6)</f>
        <v>3888</v>
      </c>
      <c r="AJ156" s="44">
        <f>(54*30*4*0.6)</f>
        <v>3888</v>
      </c>
      <c r="AK156" s="44">
        <f>(54*30*5*0.6)</f>
        <v>4860</v>
      </c>
      <c r="AL156" s="44">
        <f>(54*30*4*0.6)</f>
        <v>3888</v>
      </c>
      <c r="AM156" s="45"/>
    </row>
    <row r="157" spans="1:39" s="91" customFormat="1" ht="15.6">
      <c r="A157" s="87" t="s">
        <v>92</v>
      </c>
      <c r="B157" s="92" t="s">
        <v>261</v>
      </c>
      <c r="C157" s="38" t="s">
        <v>562</v>
      </c>
      <c r="D157" s="38" t="s">
        <v>913</v>
      </c>
      <c r="E157" s="88" t="s">
        <v>280</v>
      </c>
      <c r="F157" s="83" t="s">
        <v>72</v>
      </c>
      <c r="G157" s="89" t="s">
        <v>73</v>
      </c>
      <c r="H157" s="89">
        <v>7</v>
      </c>
      <c r="I157" s="108">
        <v>160</v>
      </c>
      <c r="J157" s="88" t="s">
        <v>91</v>
      </c>
      <c r="K157" s="38" t="s">
        <v>264</v>
      </c>
      <c r="L157" s="38" t="s">
        <v>74</v>
      </c>
      <c r="M157" s="90" t="s">
        <v>2</v>
      </c>
      <c r="N157" s="84">
        <v>152</v>
      </c>
      <c r="O157" s="84">
        <v>152</v>
      </c>
      <c r="P157" s="84">
        <v>192</v>
      </c>
      <c r="Q157" s="84">
        <v>160</v>
      </c>
      <c r="R157" s="84">
        <v>152</v>
      </c>
      <c r="S157" s="84">
        <v>200</v>
      </c>
      <c r="T157" s="84">
        <v>152</v>
      </c>
      <c r="U157" s="84">
        <v>192</v>
      </c>
      <c r="V157" s="84">
        <v>152</v>
      </c>
      <c r="W157" s="84">
        <v>152</v>
      </c>
      <c r="X157" s="84">
        <v>192</v>
      </c>
      <c r="Y157" s="84">
        <v>152</v>
      </c>
      <c r="Z157" s="38"/>
      <c r="AA157" s="37">
        <f t="shared" ref="AA157:AA178" si="177">$I157*N157</f>
        <v>24320</v>
      </c>
      <c r="AB157" s="37">
        <f t="shared" ref="AB157:AB178" si="178">$I157*O157</f>
        <v>24320</v>
      </c>
      <c r="AC157" s="37">
        <f t="shared" ref="AC157:AC178" si="179">$I157*P157</f>
        <v>30720</v>
      </c>
      <c r="AD157" s="37">
        <f t="shared" ref="AD157:AD178" si="180">$I157*Q157</f>
        <v>25600</v>
      </c>
      <c r="AE157" s="37">
        <f t="shared" ref="AE157:AE178" si="181">$I157*R157</f>
        <v>24320</v>
      </c>
      <c r="AF157" s="37">
        <f t="shared" ref="AF157:AF178" si="182">$I157*S157</f>
        <v>32000</v>
      </c>
      <c r="AG157" s="37">
        <f t="shared" ref="AG157:AG178" si="183">$I157*T157</f>
        <v>24320</v>
      </c>
      <c r="AH157" s="37">
        <f t="shared" ref="AH157:AH178" si="184">$I157*U157</f>
        <v>30720</v>
      </c>
      <c r="AI157" s="37">
        <f t="shared" ref="AI157:AI178" si="185">$I157*V157</f>
        <v>24320</v>
      </c>
      <c r="AJ157" s="37">
        <f t="shared" ref="AJ157:AJ178" si="186">$I157*W157</f>
        <v>24320</v>
      </c>
      <c r="AK157" s="37">
        <f t="shared" ref="AK157:AK178" si="187">$I157*X157</f>
        <v>30720</v>
      </c>
      <c r="AL157" s="37">
        <f t="shared" ref="AL157:AL178" si="188">$I157*Y157</f>
        <v>24320</v>
      </c>
      <c r="AM157" s="120">
        <v>1</v>
      </c>
    </row>
    <row r="158" spans="1:39" s="91" customFormat="1" ht="15.6">
      <c r="A158" s="87" t="s">
        <v>92</v>
      </c>
      <c r="B158" s="92" t="s">
        <v>261</v>
      </c>
      <c r="C158" s="38" t="s">
        <v>563</v>
      </c>
      <c r="D158" s="38" t="s">
        <v>914</v>
      </c>
      <c r="E158" s="88" t="s">
        <v>281</v>
      </c>
      <c r="F158" s="83" t="s">
        <v>72</v>
      </c>
      <c r="G158" s="89" t="s">
        <v>73</v>
      </c>
      <c r="H158" s="89">
        <v>6</v>
      </c>
      <c r="I158" s="108">
        <v>136</v>
      </c>
      <c r="J158" s="88" t="s">
        <v>91</v>
      </c>
      <c r="K158" s="38" t="s">
        <v>264</v>
      </c>
      <c r="L158" s="38" t="s">
        <v>74</v>
      </c>
      <c r="M158" s="90" t="s">
        <v>2</v>
      </c>
      <c r="N158" s="84">
        <v>152</v>
      </c>
      <c r="O158" s="84">
        <v>152</v>
      </c>
      <c r="P158" s="84">
        <v>192</v>
      </c>
      <c r="Q158" s="84">
        <v>160</v>
      </c>
      <c r="R158" s="84">
        <v>152</v>
      </c>
      <c r="S158" s="84">
        <v>200</v>
      </c>
      <c r="T158" s="84">
        <v>152</v>
      </c>
      <c r="U158" s="84">
        <v>192</v>
      </c>
      <c r="V158" s="84">
        <v>152</v>
      </c>
      <c r="W158" s="84">
        <v>152</v>
      </c>
      <c r="X158" s="84">
        <v>192</v>
      </c>
      <c r="Y158" s="84">
        <v>152</v>
      </c>
      <c r="Z158" s="38"/>
      <c r="AA158" s="37">
        <f t="shared" si="177"/>
        <v>20672</v>
      </c>
      <c r="AB158" s="37">
        <f t="shared" si="178"/>
        <v>20672</v>
      </c>
      <c r="AC158" s="37">
        <f t="shared" si="179"/>
        <v>26112</v>
      </c>
      <c r="AD158" s="37">
        <f t="shared" si="180"/>
        <v>21760</v>
      </c>
      <c r="AE158" s="37">
        <f t="shared" si="181"/>
        <v>20672</v>
      </c>
      <c r="AF158" s="37">
        <f t="shared" si="182"/>
        <v>27200</v>
      </c>
      <c r="AG158" s="37">
        <f t="shared" si="183"/>
        <v>20672</v>
      </c>
      <c r="AH158" s="37">
        <f t="shared" si="184"/>
        <v>26112</v>
      </c>
      <c r="AI158" s="37">
        <f t="shared" si="185"/>
        <v>20672</v>
      </c>
      <c r="AJ158" s="37">
        <f t="shared" si="186"/>
        <v>20672</v>
      </c>
      <c r="AK158" s="37">
        <f t="shared" si="187"/>
        <v>26112</v>
      </c>
      <c r="AL158" s="37">
        <f t="shared" si="188"/>
        <v>20672</v>
      </c>
      <c r="AM158" s="120">
        <v>1</v>
      </c>
    </row>
    <row r="159" spans="1:39" s="91" customFormat="1" ht="15.6">
      <c r="A159" s="87" t="s">
        <v>92</v>
      </c>
      <c r="B159" s="92" t="s">
        <v>261</v>
      </c>
      <c r="C159" s="96" t="s">
        <v>262</v>
      </c>
      <c r="D159" s="96" t="s">
        <v>915</v>
      </c>
      <c r="E159" s="88" t="s">
        <v>263</v>
      </c>
      <c r="F159" s="83" t="s">
        <v>29</v>
      </c>
      <c r="G159" s="89" t="s">
        <v>49</v>
      </c>
      <c r="H159" s="89" t="s">
        <v>36</v>
      </c>
      <c r="I159" s="108">
        <v>29.5</v>
      </c>
      <c r="J159" s="88" t="s">
        <v>91</v>
      </c>
      <c r="K159" s="38" t="s">
        <v>264</v>
      </c>
      <c r="L159" s="38" t="s">
        <v>34</v>
      </c>
      <c r="M159" s="90" t="s">
        <v>1</v>
      </c>
      <c r="N159" s="84">
        <v>165.87</v>
      </c>
      <c r="O159" s="84">
        <v>165.87</v>
      </c>
      <c r="P159" s="84">
        <v>209.51999999999998</v>
      </c>
      <c r="Q159" s="84">
        <v>174.6</v>
      </c>
      <c r="R159" s="84">
        <v>126</v>
      </c>
      <c r="S159" s="84">
        <v>200.79</v>
      </c>
      <c r="T159" s="84">
        <v>174.6</v>
      </c>
      <c r="U159" s="84">
        <v>218.25</v>
      </c>
      <c r="V159" s="84">
        <v>165.87</v>
      </c>
      <c r="W159" s="84">
        <v>157.13999999999999</v>
      </c>
      <c r="X159" s="84">
        <v>218.25</v>
      </c>
      <c r="Y159" s="84">
        <v>165.87</v>
      </c>
      <c r="Z159" s="38"/>
      <c r="AA159" s="37">
        <f t="shared" si="177"/>
        <v>4893.165</v>
      </c>
      <c r="AB159" s="37">
        <f t="shared" si="178"/>
        <v>4893.165</v>
      </c>
      <c r="AC159" s="37">
        <f t="shared" si="179"/>
        <v>6180.8399999999992</v>
      </c>
      <c r="AD159" s="37">
        <f t="shared" si="180"/>
        <v>5150.7</v>
      </c>
      <c r="AE159" s="37">
        <f t="shared" si="181"/>
        <v>3717</v>
      </c>
      <c r="AF159" s="37">
        <f t="shared" si="182"/>
        <v>5923.3049999999994</v>
      </c>
      <c r="AG159" s="37">
        <f t="shared" si="183"/>
        <v>5150.7</v>
      </c>
      <c r="AH159" s="37">
        <f t="shared" si="184"/>
        <v>6438.375</v>
      </c>
      <c r="AI159" s="37">
        <f t="shared" si="185"/>
        <v>4893.165</v>
      </c>
      <c r="AJ159" s="37">
        <f t="shared" si="186"/>
        <v>4635.6299999999992</v>
      </c>
      <c r="AK159" s="37">
        <f t="shared" si="187"/>
        <v>6438.375</v>
      </c>
      <c r="AL159" s="37">
        <f t="shared" si="188"/>
        <v>4893.165</v>
      </c>
      <c r="AM159" s="120">
        <v>1</v>
      </c>
    </row>
    <row r="160" spans="1:39" s="91" customFormat="1" ht="15.6">
      <c r="A160" s="87" t="s">
        <v>92</v>
      </c>
      <c r="B160" s="92" t="s">
        <v>261</v>
      </c>
      <c r="C160" s="96" t="s">
        <v>720</v>
      </c>
      <c r="D160" s="96" t="s">
        <v>916</v>
      </c>
      <c r="E160" s="88" t="s">
        <v>719</v>
      </c>
      <c r="F160" s="83" t="s">
        <v>29</v>
      </c>
      <c r="G160" s="89" t="s">
        <v>41</v>
      </c>
      <c r="H160" s="89" t="s">
        <v>36</v>
      </c>
      <c r="I160" s="108">
        <v>29.5</v>
      </c>
      <c r="J160" s="88" t="s">
        <v>91</v>
      </c>
      <c r="K160" s="38" t="s">
        <v>264</v>
      </c>
      <c r="L160" s="38" t="s">
        <v>34</v>
      </c>
      <c r="M160" s="90" t="s">
        <v>1</v>
      </c>
      <c r="N160" s="84">
        <v>165.87</v>
      </c>
      <c r="O160" s="84">
        <v>165.87</v>
      </c>
      <c r="P160" s="84">
        <v>209.51999999999998</v>
      </c>
      <c r="Q160" s="84">
        <v>174.6</v>
      </c>
      <c r="R160" s="84">
        <v>165.87</v>
      </c>
      <c r="S160" s="84">
        <v>200.79</v>
      </c>
      <c r="T160" s="84">
        <v>174.6</v>
      </c>
      <c r="U160" s="84">
        <v>218.25</v>
      </c>
      <c r="V160" s="84">
        <v>165.87</v>
      </c>
      <c r="W160" s="84">
        <v>157.13999999999999</v>
      </c>
      <c r="X160" s="84">
        <v>218.25</v>
      </c>
      <c r="Y160" s="84">
        <v>165.87</v>
      </c>
      <c r="Z160" s="38"/>
      <c r="AA160" s="37">
        <f t="shared" si="177"/>
        <v>4893.165</v>
      </c>
      <c r="AB160" s="37">
        <f t="shared" si="178"/>
        <v>4893.165</v>
      </c>
      <c r="AC160" s="37">
        <f t="shared" si="179"/>
        <v>6180.8399999999992</v>
      </c>
      <c r="AD160" s="37">
        <f t="shared" si="180"/>
        <v>5150.7</v>
      </c>
      <c r="AE160" s="37">
        <f t="shared" si="181"/>
        <v>4893.165</v>
      </c>
      <c r="AF160" s="37">
        <f t="shared" si="182"/>
        <v>5923.3049999999994</v>
      </c>
      <c r="AG160" s="37">
        <f t="shared" si="183"/>
        <v>5150.7</v>
      </c>
      <c r="AH160" s="37">
        <f t="shared" si="184"/>
        <v>6438.375</v>
      </c>
      <c r="AI160" s="37">
        <f t="shared" si="185"/>
        <v>4893.165</v>
      </c>
      <c r="AJ160" s="37">
        <f t="shared" si="186"/>
        <v>4635.6299999999992</v>
      </c>
      <c r="AK160" s="37">
        <f t="shared" si="187"/>
        <v>6438.375</v>
      </c>
      <c r="AL160" s="37">
        <f t="shared" si="188"/>
        <v>4893.165</v>
      </c>
      <c r="AM160" s="120">
        <v>1</v>
      </c>
    </row>
    <row r="161" spans="1:39" s="91" customFormat="1" ht="15.6">
      <c r="A161" s="87" t="s">
        <v>92</v>
      </c>
      <c r="B161" s="92" t="s">
        <v>261</v>
      </c>
      <c r="C161" s="88" t="s">
        <v>265</v>
      </c>
      <c r="D161" s="88" t="s">
        <v>917</v>
      </c>
      <c r="E161" s="88" t="s">
        <v>266</v>
      </c>
      <c r="F161" s="83" t="s">
        <v>29</v>
      </c>
      <c r="G161" s="89" t="s">
        <v>49</v>
      </c>
      <c r="H161" s="89" t="s">
        <v>31</v>
      </c>
      <c r="I161" s="108">
        <v>30.5</v>
      </c>
      <c r="J161" s="88" t="s">
        <v>91</v>
      </c>
      <c r="K161" s="38" t="s">
        <v>264</v>
      </c>
      <c r="L161" s="38" t="s">
        <v>34</v>
      </c>
      <c r="M161" s="90" t="s">
        <v>1</v>
      </c>
      <c r="N161" s="84">
        <v>165.87</v>
      </c>
      <c r="O161" s="84">
        <v>165.87</v>
      </c>
      <c r="P161" s="84">
        <v>209.51999999999998</v>
      </c>
      <c r="Q161" s="84">
        <v>174.6</v>
      </c>
      <c r="R161" s="84">
        <v>165.87</v>
      </c>
      <c r="S161" s="84">
        <v>161</v>
      </c>
      <c r="T161" s="84">
        <v>174.6</v>
      </c>
      <c r="U161" s="84">
        <v>218.25</v>
      </c>
      <c r="V161" s="84">
        <v>165.87</v>
      </c>
      <c r="W161" s="84">
        <v>157.13999999999999</v>
      </c>
      <c r="X161" s="84">
        <v>218.25</v>
      </c>
      <c r="Y161" s="84">
        <v>165.87</v>
      </c>
      <c r="Z161" s="38"/>
      <c r="AA161" s="37">
        <f t="shared" si="177"/>
        <v>5059.0349999999999</v>
      </c>
      <c r="AB161" s="37">
        <f t="shared" si="178"/>
        <v>5059.0349999999999</v>
      </c>
      <c r="AC161" s="37">
        <f t="shared" si="179"/>
        <v>6390.36</v>
      </c>
      <c r="AD161" s="37">
        <f t="shared" si="180"/>
        <v>5325.3</v>
      </c>
      <c r="AE161" s="37">
        <f t="shared" si="181"/>
        <v>5059.0349999999999</v>
      </c>
      <c r="AF161" s="37">
        <f t="shared" si="182"/>
        <v>4910.5</v>
      </c>
      <c r="AG161" s="37">
        <f t="shared" si="183"/>
        <v>5325.3</v>
      </c>
      <c r="AH161" s="37">
        <f t="shared" si="184"/>
        <v>6656.625</v>
      </c>
      <c r="AI161" s="37">
        <f t="shared" si="185"/>
        <v>5059.0349999999999</v>
      </c>
      <c r="AJ161" s="37">
        <f t="shared" si="186"/>
        <v>4792.7699999999995</v>
      </c>
      <c r="AK161" s="37">
        <f t="shared" si="187"/>
        <v>6656.625</v>
      </c>
      <c r="AL161" s="37">
        <f t="shared" si="188"/>
        <v>5059.0349999999999</v>
      </c>
      <c r="AM161" s="120">
        <v>1</v>
      </c>
    </row>
    <row r="162" spans="1:39" s="91" customFormat="1" ht="15.6">
      <c r="A162" s="87" t="s">
        <v>92</v>
      </c>
      <c r="B162" s="92" t="s">
        <v>261</v>
      </c>
      <c r="C162" s="88" t="s">
        <v>581</v>
      </c>
      <c r="D162" s="88" t="s">
        <v>918</v>
      </c>
      <c r="E162" s="88" t="s">
        <v>580</v>
      </c>
      <c r="F162" s="83" t="s">
        <v>29</v>
      </c>
      <c r="G162" s="89" t="s">
        <v>41</v>
      </c>
      <c r="H162" s="89" t="s">
        <v>31</v>
      </c>
      <c r="I162" s="108">
        <v>30.5</v>
      </c>
      <c r="J162" s="88" t="s">
        <v>91</v>
      </c>
      <c r="K162" s="38" t="s">
        <v>264</v>
      </c>
      <c r="L162" s="38" t="s">
        <v>34</v>
      </c>
      <c r="M162" s="90" t="s">
        <v>1</v>
      </c>
      <c r="N162" s="84">
        <v>165.87</v>
      </c>
      <c r="O162" s="84">
        <v>165.87</v>
      </c>
      <c r="P162" s="84">
        <v>209.51999999999998</v>
      </c>
      <c r="Q162" s="84">
        <v>174.6</v>
      </c>
      <c r="R162" s="84">
        <v>165.87</v>
      </c>
      <c r="S162" s="84">
        <v>200.79</v>
      </c>
      <c r="T162" s="84">
        <v>174.6</v>
      </c>
      <c r="U162" s="84">
        <v>218.25</v>
      </c>
      <c r="V162" s="84">
        <v>165.87</v>
      </c>
      <c r="W162" s="84">
        <v>157.13999999999999</v>
      </c>
      <c r="X162" s="84">
        <v>218.25</v>
      </c>
      <c r="Y162" s="84">
        <v>165.87</v>
      </c>
      <c r="Z162" s="38"/>
      <c r="AA162" s="37">
        <f t="shared" si="177"/>
        <v>5059.0349999999999</v>
      </c>
      <c r="AB162" s="37">
        <f t="shared" si="178"/>
        <v>5059.0349999999999</v>
      </c>
      <c r="AC162" s="37">
        <f t="shared" si="179"/>
        <v>6390.36</v>
      </c>
      <c r="AD162" s="37">
        <f t="shared" si="180"/>
        <v>5325.3</v>
      </c>
      <c r="AE162" s="37">
        <f t="shared" si="181"/>
        <v>5059.0349999999999</v>
      </c>
      <c r="AF162" s="37">
        <f t="shared" si="182"/>
        <v>6124.0949999999993</v>
      </c>
      <c r="AG162" s="37">
        <f t="shared" si="183"/>
        <v>5325.3</v>
      </c>
      <c r="AH162" s="37">
        <f t="shared" si="184"/>
        <v>6656.625</v>
      </c>
      <c r="AI162" s="37">
        <f t="shared" si="185"/>
        <v>5059.0349999999999</v>
      </c>
      <c r="AJ162" s="37">
        <f t="shared" si="186"/>
        <v>4792.7699999999995</v>
      </c>
      <c r="AK162" s="37">
        <f t="shared" si="187"/>
        <v>6656.625</v>
      </c>
      <c r="AL162" s="37">
        <f t="shared" si="188"/>
        <v>5059.0349999999999</v>
      </c>
      <c r="AM162" s="120">
        <v>1</v>
      </c>
    </row>
    <row r="163" spans="1:39" s="91" customFormat="1" ht="15.6">
      <c r="A163" s="87" t="s">
        <v>92</v>
      </c>
      <c r="B163" s="92" t="s">
        <v>261</v>
      </c>
      <c r="C163" s="95" t="s">
        <v>267</v>
      </c>
      <c r="D163" s="95" t="s">
        <v>919</v>
      </c>
      <c r="E163" s="88" t="s">
        <v>268</v>
      </c>
      <c r="F163" s="83" t="s">
        <v>29</v>
      </c>
      <c r="G163" s="89" t="s">
        <v>49</v>
      </c>
      <c r="H163" s="89" t="s">
        <v>31</v>
      </c>
      <c r="I163" s="108">
        <v>30.5</v>
      </c>
      <c r="J163" s="88" t="s">
        <v>91</v>
      </c>
      <c r="K163" s="38" t="s">
        <v>264</v>
      </c>
      <c r="L163" s="38" t="s">
        <v>34</v>
      </c>
      <c r="M163" s="90" t="s">
        <v>1</v>
      </c>
      <c r="N163" s="84">
        <v>165.87</v>
      </c>
      <c r="O163" s="84">
        <v>165.87</v>
      </c>
      <c r="P163" s="84">
        <v>209.51999999999998</v>
      </c>
      <c r="Q163" s="84">
        <v>174.6</v>
      </c>
      <c r="R163" s="84">
        <v>126</v>
      </c>
      <c r="S163" s="84">
        <v>200.79</v>
      </c>
      <c r="T163" s="84">
        <v>174.6</v>
      </c>
      <c r="U163" s="84">
        <v>218.25</v>
      </c>
      <c r="V163" s="84">
        <v>165.87</v>
      </c>
      <c r="W163" s="84">
        <v>157.13999999999999</v>
      </c>
      <c r="X163" s="84">
        <v>218.25</v>
      </c>
      <c r="Y163" s="84">
        <v>165.87</v>
      </c>
      <c r="Z163" s="38"/>
      <c r="AA163" s="37">
        <f t="shared" si="177"/>
        <v>5059.0349999999999</v>
      </c>
      <c r="AB163" s="37">
        <f t="shared" si="178"/>
        <v>5059.0349999999999</v>
      </c>
      <c r="AC163" s="37">
        <f t="shared" si="179"/>
        <v>6390.36</v>
      </c>
      <c r="AD163" s="37">
        <f t="shared" si="180"/>
        <v>5325.3</v>
      </c>
      <c r="AE163" s="37">
        <f t="shared" si="181"/>
        <v>3843</v>
      </c>
      <c r="AF163" s="37">
        <f t="shared" si="182"/>
        <v>6124.0949999999993</v>
      </c>
      <c r="AG163" s="37">
        <f t="shared" si="183"/>
        <v>5325.3</v>
      </c>
      <c r="AH163" s="37">
        <f t="shared" si="184"/>
        <v>6656.625</v>
      </c>
      <c r="AI163" s="37">
        <f t="shared" si="185"/>
        <v>5059.0349999999999</v>
      </c>
      <c r="AJ163" s="37">
        <f t="shared" si="186"/>
        <v>4792.7699999999995</v>
      </c>
      <c r="AK163" s="37">
        <f t="shared" si="187"/>
        <v>6656.625</v>
      </c>
      <c r="AL163" s="37">
        <f t="shared" si="188"/>
        <v>5059.0349999999999</v>
      </c>
      <c r="AM163" s="120">
        <v>1</v>
      </c>
    </row>
    <row r="164" spans="1:39" s="91" customFormat="1" ht="15.6">
      <c r="A164" s="87" t="s">
        <v>92</v>
      </c>
      <c r="B164" s="92" t="s">
        <v>261</v>
      </c>
      <c r="C164" s="95" t="s">
        <v>269</v>
      </c>
      <c r="D164" s="95" t="s">
        <v>920</v>
      </c>
      <c r="E164" s="88" t="s">
        <v>270</v>
      </c>
      <c r="F164" s="83" t="s">
        <v>29</v>
      </c>
      <c r="G164" s="89" t="s">
        <v>49</v>
      </c>
      <c r="H164" s="89" t="s">
        <v>60</v>
      </c>
      <c r="I164" s="108">
        <v>22.5</v>
      </c>
      <c r="J164" s="88" t="s">
        <v>91</v>
      </c>
      <c r="K164" s="38" t="s">
        <v>264</v>
      </c>
      <c r="L164" s="38" t="s">
        <v>34</v>
      </c>
      <c r="M164" s="90" t="s">
        <v>1</v>
      </c>
      <c r="N164" s="84">
        <v>165.87</v>
      </c>
      <c r="O164" s="84">
        <v>165.87</v>
      </c>
      <c r="P164" s="84">
        <v>209.51999999999998</v>
      </c>
      <c r="Q164" s="84">
        <v>174.6</v>
      </c>
      <c r="R164" s="84">
        <v>40</v>
      </c>
      <c r="S164" s="84"/>
      <c r="T164" s="84"/>
      <c r="U164" s="84"/>
      <c r="V164" s="84"/>
      <c r="W164" s="84"/>
      <c r="X164" s="84"/>
      <c r="Y164" s="84"/>
      <c r="Z164" s="38" t="s">
        <v>1144</v>
      </c>
      <c r="AA164" s="37">
        <f t="shared" si="177"/>
        <v>3732.0750000000003</v>
      </c>
      <c r="AB164" s="37">
        <f t="shared" si="178"/>
        <v>3732.0750000000003</v>
      </c>
      <c r="AC164" s="37">
        <f t="shared" si="179"/>
        <v>4714.2</v>
      </c>
      <c r="AD164" s="37">
        <f t="shared" si="180"/>
        <v>3928.5</v>
      </c>
      <c r="AE164" s="37">
        <f t="shared" si="181"/>
        <v>900</v>
      </c>
      <c r="AF164" s="37">
        <f t="shared" si="182"/>
        <v>0</v>
      </c>
      <c r="AG164" s="37">
        <f t="shared" si="183"/>
        <v>0</v>
      </c>
      <c r="AH164" s="37">
        <f t="shared" si="184"/>
        <v>0</v>
      </c>
      <c r="AI164" s="37">
        <f t="shared" si="185"/>
        <v>0</v>
      </c>
      <c r="AJ164" s="37">
        <f t="shared" si="186"/>
        <v>0</v>
      </c>
      <c r="AK164" s="37">
        <f t="shared" si="187"/>
        <v>0</v>
      </c>
      <c r="AL164" s="37">
        <f t="shared" si="188"/>
        <v>0</v>
      </c>
      <c r="AM164" s="120">
        <v>1</v>
      </c>
    </row>
    <row r="165" spans="1:39" s="91" customFormat="1" ht="15.6">
      <c r="A165" s="87" t="s">
        <v>92</v>
      </c>
      <c r="B165" s="92" t="s">
        <v>261</v>
      </c>
      <c r="C165" s="95" t="s">
        <v>271</v>
      </c>
      <c r="D165" s="95" t="s">
        <v>921</v>
      </c>
      <c r="E165" s="88" t="s">
        <v>272</v>
      </c>
      <c r="F165" s="83" t="s">
        <v>29</v>
      </c>
      <c r="G165" s="83" t="s">
        <v>30</v>
      </c>
      <c r="H165" s="89" t="s">
        <v>60</v>
      </c>
      <c r="I165" s="108">
        <v>19</v>
      </c>
      <c r="J165" s="88" t="s">
        <v>91</v>
      </c>
      <c r="K165" s="38" t="s">
        <v>264</v>
      </c>
      <c r="L165" s="38" t="s">
        <v>34</v>
      </c>
      <c r="M165" s="90" t="s">
        <v>1</v>
      </c>
      <c r="N165" s="84">
        <v>165.87</v>
      </c>
      <c r="O165" s="84">
        <v>165.87</v>
      </c>
      <c r="P165" s="84">
        <v>209.51999999999998</v>
      </c>
      <c r="Q165" s="84">
        <v>165.87</v>
      </c>
      <c r="R165" s="84">
        <v>165.87</v>
      </c>
      <c r="S165" s="84">
        <v>209.51999999999998</v>
      </c>
      <c r="T165" s="84">
        <v>174.6</v>
      </c>
      <c r="U165" s="84">
        <v>218.25</v>
      </c>
      <c r="V165" s="84">
        <v>165.87</v>
      </c>
      <c r="W165" s="84">
        <v>157.13999999999999</v>
      </c>
      <c r="X165" s="84">
        <v>218.25</v>
      </c>
      <c r="Y165" s="84">
        <v>165.87</v>
      </c>
      <c r="Z165" s="38"/>
      <c r="AA165" s="37">
        <f t="shared" ref="AA165" si="189">$I165*N165</f>
        <v>3151.53</v>
      </c>
      <c r="AB165" s="37">
        <f t="shared" ref="AB165" si="190">$I165*O165</f>
        <v>3151.53</v>
      </c>
      <c r="AC165" s="37">
        <f t="shared" ref="AC165" si="191">$I165*P165</f>
        <v>3980.8799999999997</v>
      </c>
      <c r="AD165" s="37">
        <f t="shared" ref="AD165" si="192">$I165*Q165</f>
        <v>3151.53</v>
      </c>
      <c r="AE165" s="37">
        <f t="shared" ref="AE165" si="193">$I165*R165</f>
        <v>3151.53</v>
      </c>
      <c r="AF165" s="37">
        <f t="shared" ref="AF165" si="194">$I165*S165</f>
        <v>3980.8799999999997</v>
      </c>
      <c r="AG165" s="37">
        <f t="shared" ref="AG165" si="195">$I165*T165</f>
        <v>3317.4</v>
      </c>
      <c r="AH165" s="37">
        <f t="shared" ref="AH165" si="196">$I165*U165</f>
        <v>4146.75</v>
      </c>
      <c r="AI165" s="37">
        <f t="shared" ref="AI165" si="197">$I165*V165</f>
        <v>3151.53</v>
      </c>
      <c r="AJ165" s="37">
        <f t="shared" ref="AJ165" si="198">$I165*W165</f>
        <v>2985.66</v>
      </c>
      <c r="AK165" s="37">
        <f t="shared" ref="AK165" si="199">$I165*X165</f>
        <v>4146.75</v>
      </c>
      <c r="AL165" s="37">
        <f t="shared" ref="AL165" si="200">$I165*Y165</f>
        <v>3151.53</v>
      </c>
      <c r="AM165" s="120">
        <v>1</v>
      </c>
    </row>
    <row r="166" spans="1:39" s="91" customFormat="1" ht="15.6">
      <c r="A166" s="87" t="s">
        <v>92</v>
      </c>
      <c r="B166" s="92" t="s">
        <v>261</v>
      </c>
      <c r="C166" s="95" t="s">
        <v>1146</v>
      </c>
      <c r="D166" s="95" t="s">
        <v>1145</v>
      </c>
      <c r="E166" s="88" t="s">
        <v>1143</v>
      </c>
      <c r="F166" s="83" t="s">
        <v>29</v>
      </c>
      <c r="G166" s="83" t="s">
        <v>30</v>
      </c>
      <c r="H166" s="89">
        <v>8</v>
      </c>
      <c r="I166" s="108">
        <v>41</v>
      </c>
      <c r="J166" s="88" t="s">
        <v>91</v>
      </c>
      <c r="K166" s="38" t="s">
        <v>264</v>
      </c>
      <c r="L166" s="38" t="s">
        <v>34</v>
      </c>
      <c r="M166" s="90" t="s">
        <v>1</v>
      </c>
      <c r="N166" s="84"/>
      <c r="O166" s="84"/>
      <c r="P166" s="84"/>
      <c r="Q166" s="84"/>
      <c r="R166" s="84">
        <v>165.87</v>
      </c>
      <c r="S166" s="84">
        <v>209.51999999999998</v>
      </c>
      <c r="T166" s="84">
        <v>174.6</v>
      </c>
      <c r="U166" s="84">
        <v>218.25</v>
      </c>
      <c r="V166" s="84">
        <v>165.87</v>
      </c>
      <c r="W166" s="84">
        <v>157.13999999999999</v>
      </c>
      <c r="X166" s="84">
        <v>218.25</v>
      </c>
      <c r="Y166" s="84">
        <v>165.87</v>
      </c>
      <c r="Z166" s="38"/>
      <c r="AA166" s="37">
        <f t="shared" si="177"/>
        <v>0</v>
      </c>
      <c r="AB166" s="37">
        <f t="shared" si="178"/>
        <v>0</v>
      </c>
      <c r="AC166" s="37">
        <f t="shared" si="179"/>
        <v>0</v>
      </c>
      <c r="AD166" s="37">
        <f t="shared" si="180"/>
        <v>0</v>
      </c>
      <c r="AE166" s="37">
        <f t="shared" si="181"/>
        <v>6800.67</v>
      </c>
      <c r="AF166" s="37">
        <f t="shared" si="182"/>
        <v>8590.32</v>
      </c>
      <c r="AG166" s="37">
        <f t="shared" si="183"/>
        <v>7158.5999999999995</v>
      </c>
      <c r="AH166" s="37">
        <f t="shared" si="184"/>
        <v>8948.25</v>
      </c>
      <c r="AI166" s="37">
        <f t="shared" si="185"/>
        <v>6800.67</v>
      </c>
      <c r="AJ166" s="37">
        <f t="shared" si="186"/>
        <v>6442.74</v>
      </c>
      <c r="AK166" s="37">
        <f t="shared" si="187"/>
        <v>8948.25</v>
      </c>
      <c r="AL166" s="37">
        <f t="shared" si="188"/>
        <v>6800.67</v>
      </c>
      <c r="AM166" s="120">
        <v>1</v>
      </c>
    </row>
    <row r="167" spans="1:39" s="91" customFormat="1" ht="15.6">
      <c r="A167" s="87" t="s">
        <v>92</v>
      </c>
      <c r="B167" s="92" t="s">
        <v>261</v>
      </c>
      <c r="C167" s="95" t="s">
        <v>273</v>
      </c>
      <c r="D167" s="95" t="s">
        <v>781</v>
      </c>
      <c r="E167" s="111" t="s">
        <v>274</v>
      </c>
      <c r="F167" s="83" t="s">
        <v>29</v>
      </c>
      <c r="G167" s="89" t="s">
        <v>49</v>
      </c>
      <c r="H167" s="89" t="s">
        <v>31</v>
      </c>
      <c r="I167" s="108">
        <v>37.5</v>
      </c>
      <c r="J167" s="88" t="s">
        <v>91</v>
      </c>
      <c r="K167" s="38" t="s">
        <v>264</v>
      </c>
      <c r="L167" s="38" t="s">
        <v>34</v>
      </c>
      <c r="M167" s="90" t="s">
        <v>1</v>
      </c>
      <c r="N167" s="84">
        <v>90</v>
      </c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38" t="s">
        <v>706</v>
      </c>
      <c r="AA167" s="37">
        <f t="shared" si="177"/>
        <v>3375</v>
      </c>
      <c r="AB167" s="37">
        <f t="shared" si="178"/>
        <v>0</v>
      </c>
      <c r="AC167" s="37">
        <f t="shared" si="179"/>
        <v>0</v>
      </c>
      <c r="AD167" s="37">
        <f t="shared" si="180"/>
        <v>0</v>
      </c>
      <c r="AE167" s="37">
        <f t="shared" si="181"/>
        <v>0</v>
      </c>
      <c r="AF167" s="37">
        <f t="shared" si="182"/>
        <v>0</v>
      </c>
      <c r="AG167" s="37">
        <f t="shared" si="183"/>
        <v>0</v>
      </c>
      <c r="AH167" s="37">
        <f t="shared" si="184"/>
        <v>0</v>
      </c>
      <c r="AI167" s="37">
        <f t="shared" si="185"/>
        <v>0</v>
      </c>
      <c r="AJ167" s="37">
        <f t="shared" si="186"/>
        <v>0</v>
      </c>
      <c r="AK167" s="37">
        <f t="shared" si="187"/>
        <v>0</v>
      </c>
      <c r="AL167" s="37">
        <f t="shared" si="188"/>
        <v>0</v>
      </c>
      <c r="AM167" s="120">
        <v>0</v>
      </c>
    </row>
    <row r="168" spans="1:39" s="91" customFormat="1" ht="15.6">
      <c r="A168" s="87" t="s">
        <v>92</v>
      </c>
      <c r="B168" s="92" t="s">
        <v>261</v>
      </c>
      <c r="C168" s="88" t="s">
        <v>275</v>
      </c>
      <c r="D168" s="88" t="s">
        <v>922</v>
      </c>
      <c r="E168" s="88" t="s">
        <v>276</v>
      </c>
      <c r="F168" s="83" t="s">
        <v>29</v>
      </c>
      <c r="G168" s="89" t="s">
        <v>49</v>
      </c>
      <c r="H168" s="89" t="s">
        <v>60</v>
      </c>
      <c r="I168" s="108">
        <v>19</v>
      </c>
      <c r="J168" s="88" t="s">
        <v>91</v>
      </c>
      <c r="K168" s="38" t="s">
        <v>264</v>
      </c>
      <c r="L168" s="38" t="s">
        <v>34</v>
      </c>
      <c r="M168" s="90" t="s">
        <v>1</v>
      </c>
      <c r="N168" s="84">
        <v>165.87</v>
      </c>
      <c r="O168" s="84">
        <v>165.87</v>
      </c>
      <c r="P168" s="84">
        <v>209.51999999999998</v>
      </c>
      <c r="Q168" s="84">
        <v>174.6</v>
      </c>
      <c r="R168" s="84">
        <v>165.87</v>
      </c>
      <c r="S168" s="84">
        <v>200.79</v>
      </c>
      <c r="T168" s="84">
        <v>174.6</v>
      </c>
      <c r="U168" s="84">
        <v>218.25</v>
      </c>
      <c r="V168" s="84">
        <v>165.87</v>
      </c>
      <c r="W168" s="84">
        <v>157.13999999999999</v>
      </c>
      <c r="X168" s="84">
        <v>218.25</v>
      </c>
      <c r="Y168" s="84">
        <v>165.87</v>
      </c>
      <c r="Z168" s="38"/>
      <c r="AA168" s="37">
        <f t="shared" si="177"/>
        <v>3151.53</v>
      </c>
      <c r="AB168" s="37">
        <f t="shared" si="178"/>
        <v>3151.53</v>
      </c>
      <c r="AC168" s="37">
        <f t="shared" si="179"/>
        <v>3980.8799999999997</v>
      </c>
      <c r="AD168" s="37">
        <f t="shared" si="180"/>
        <v>3317.4</v>
      </c>
      <c r="AE168" s="37">
        <f t="shared" si="181"/>
        <v>3151.53</v>
      </c>
      <c r="AF168" s="37">
        <f t="shared" si="182"/>
        <v>3815.0099999999998</v>
      </c>
      <c r="AG168" s="37">
        <f t="shared" si="183"/>
        <v>3317.4</v>
      </c>
      <c r="AH168" s="37">
        <f t="shared" si="184"/>
        <v>4146.75</v>
      </c>
      <c r="AI168" s="37">
        <f t="shared" si="185"/>
        <v>3151.53</v>
      </c>
      <c r="AJ168" s="37">
        <f t="shared" si="186"/>
        <v>2985.66</v>
      </c>
      <c r="AK168" s="37">
        <f t="shared" si="187"/>
        <v>4146.75</v>
      </c>
      <c r="AL168" s="37">
        <f t="shared" si="188"/>
        <v>3151.53</v>
      </c>
      <c r="AM168" s="120">
        <v>1</v>
      </c>
    </row>
    <row r="169" spans="1:39" s="91" customFormat="1" ht="15.6">
      <c r="A169" s="87" t="s">
        <v>92</v>
      </c>
      <c r="B169" s="92" t="s">
        <v>261</v>
      </c>
      <c r="C169" s="38" t="s">
        <v>673</v>
      </c>
      <c r="D169" s="38" t="s">
        <v>923</v>
      </c>
      <c r="E169" s="88" t="s">
        <v>646</v>
      </c>
      <c r="F169" s="83" t="s">
        <v>29</v>
      </c>
      <c r="G169" s="89" t="s">
        <v>49</v>
      </c>
      <c r="H169" s="89" t="s">
        <v>36</v>
      </c>
      <c r="I169" s="108">
        <v>29.5</v>
      </c>
      <c r="J169" s="88" t="s">
        <v>91</v>
      </c>
      <c r="K169" s="38" t="s">
        <v>264</v>
      </c>
      <c r="L169" s="38" t="s">
        <v>34</v>
      </c>
      <c r="M169" s="90" t="s">
        <v>1</v>
      </c>
      <c r="N169" s="84">
        <v>165.87</v>
      </c>
      <c r="O169" s="84">
        <v>165.87</v>
      </c>
      <c r="P169" s="84">
        <v>209.51999999999998</v>
      </c>
      <c r="Q169" s="84">
        <v>174.6</v>
      </c>
      <c r="R169" s="84">
        <v>165.87</v>
      </c>
      <c r="S169" s="84">
        <v>200.79</v>
      </c>
      <c r="T169" s="84">
        <v>174.6</v>
      </c>
      <c r="U169" s="84">
        <v>218.25</v>
      </c>
      <c r="V169" s="84">
        <v>165.87</v>
      </c>
      <c r="W169" s="84">
        <v>157.13999999999999</v>
      </c>
      <c r="X169" s="84">
        <v>218.25</v>
      </c>
      <c r="Y169" s="84">
        <v>165.87</v>
      </c>
      <c r="Z169" s="38"/>
      <c r="AA169" s="37">
        <f t="shared" si="177"/>
        <v>4893.165</v>
      </c>
      <c r="AB169" s="37">
        <f t="shared" si="178"/>
        <v>4893.165</v>
      </c>
      <c r="AC169" s="37">
        <f t="shared" si="179"/>
        <v>6180.8399999999992</v>
      </c>
      <c r="AD169" s="37">
        <f t="shared" si="180"/>
        <v>5150.7</v>
      </c>
      <c r="AE169" s="37">
        <f t="shared" si="181"/>
        <v>4893.165</v>
      </c>
      <c r="AF169" s="37">
        <f t="shared" si="182"/>
        <v>5923.3049999999994</v>
      </c>
      <c r="AG169" s="37">
        <f t="shared" si="183"/>
        <v>5150.7</v>
      </c>
      <c r="AH169" s="37">
        <f t="shared" si="184"/>
        <v>6438.375</v>
      </c>
      <c r="AI169" s="37">
        <f t="shared" si="185"/>
        <v>4893.165</v>
      </c>
      <c r="AJ169" s="37">
        <f t="shared" si="186"/>
        <v>4635.6299999999992</v>
      </c>
      <c r="AK169" s="37">
        <f t="shared" si="187"/>
        <v>6438.375</v>
      </c>
      <c r="AL169" s="37">
        <f t="shared" si="188"/>
        <v>4893.165</v>
      </c>
      <c r="AM169" s="120">
        <v>1</v>
      </c>
    </row>
    <row r="170" spans="1:39" s="91" customFormat="1" ht="15.6">
      <c r="A170" s="87" t="s">
        <v>92</v>
      </c>
      <c r="B170" s="92" t="s">
        <v>261</v>
      </c>
      <c r="C170" s="38" t="s">
        <v>560</v>
      </c>
      <c r="D170" s="38" t="s">
        <v>924</v>
      </c>
      <c r="E170" s="88" t="s">
        <v>277</v>
      </c>
      <c r="F170" s="83" t="s">
        <v>29</v>
      </c>
      <c r="G170" s="89" t="s">
        <v>35</v>
      </c>
      <c r="H170" s="89" t="s">
        <v>36</v>
      </c>
      <c r="I170" s="108">
        <v>24.5</v>
      </c>
      <c r="J170" s="88" t="s">
        <v>91</v>
      </c>
      <c r="K170" s="38" t="s">
        <v>264</v>
      </c>
      <c r="L170" s="38" t="s">
        <v>34</v>
      </c>
      <c r="M170" s="90" t="s">
        <v>1</v>
      </c>
      <c r="N170" s="36">
        <v>174.6</v>
      </c>
      <c r="O170" s="36">
        <v>165.87</v>
      </c>
      <c r="P170" s="36">
        <v>200.79</v>
      </c>
      <c r="Q170" s="36">
        <v>174.6</v>
      </c>
      <c r="R170" s="36">
        <v>165.87</v>
      </c>
      <c r="S170" s="36">
        <v>209.51999999999998</v>
      </c>
      <c r="T170" s="36">
        <v>174.6</v>
      </c>
      <c r="U170" s="36">
        <v>218.25</v>
      </c>
      <c r="V170" s="36">
        <v>165.87</v>
      </c>
      <c r="W170" s="36">
        <v>157.13999999999999</v>
      </c>
      <c r="X170" s="36">
        <v>209.51999999999998</v>
      </c>
      <c r="Y170" s="36">
        <v>165.87</v>
      </c>
      <c r="Z170" s="38"/>
      <c r="AA170" s="37">
        <f t="shared" si="177"/>
        <v>4277.7</v>
      </c>
      <c r="AB170" s="37">
        <f t="shared" si="178"/>
        <v>4063.8150000000001</v>
      </c>
      <c r="AC170" s="37">
        <f t="shared" si="179"/>
        <v>4919.3549999999996</v>
      </c>
      <c r="AD170" s="37">
        <f t="shared" si="180"/>
        <v>4277.7</v>
      </c>
      <c r="AE170" s="37">
        <f t="shared" si="181"/>
        <v>4063.8150000000001</v>
      </c>
      <c r="AF170" s="37">
        <f t="shared" si="182"/>
        <v>5133.24</v>
      </c>
      <c r="AG170" s="37">
        <f t="shared" si="183"/>
        <v>4277.7</v>
      </c>
      <c r="AH170" s="37">
        <f t="shared" si="184"/>
        <v>5347.125</v>
      </c>
      <c r="AI170" s="37">
        <f t="shared" si="185"/>
        <v>4063.8150000000001</v>
      </c>
      <c r="AJ170" s="37">
        <f t="shared" si="186"/>
        <v>3849.93</v>
      </c>
      <c r="AK170" s="37">
        <f t="shared" si="187"/>
        <v>5133.24</v>
      </c>
      <c r="AL170" s="37">
        <f t="shared" si="188"/>
        <v>4063.8150000000001</v>
      </c>
      <c r="AM170" s="120">
        <v>1</v>
      </c>
    </row>
    <row r="171" spans="1:39" s="91" customFormat="1" ht="15.6">
      <c r="A171" s="87" t="s">
        <v>92</v>
      </c>
      <c r="B171" s="92" t="s">
        <v>261</v>
      </c>
      <c r="C171" s="38" t="s">
        <v>561</v>
      </c>
      <c r="D171" s="38" t="s">
        <v>925</v>
      </c>
      <c r="E171" s="88" t="s">
        <v>278</v>
      </c>
      <c r="F171" s="83" t="s">
        <v>29</v>
      </c>
      <c r="G171" s="89" t="s">
        <v>30</v>
      </c>
      <c r="H171" s="89" t="s">
        <v>36</v>
      </c>
      <c r="I171" s="108">
        <v>29.5</v>
      </c>
      <c r="J171" s="88" t="s">
        <v>91</v>
      </c>
      <c r="K171" s="38" t="s">
        <v>264</v>
      </c>
      <c r="L171" s="38" t="s">
        <v>34</v>
      </c>
      <c r="M171" s="90" t="s">
        <v>1</v>
      </c>
      <c r="N171" s="84">
        <v>165.87</v>
      </c>
      <c r="O171" s="84">
        <v>165.87</v>
      </c>
      <c r="P171" s="84">
        <v>209.51999999999998</v>
      </c>
      <c r="Q171" s="84">
        <v>165.87</v>
      </c>
      <c r="R171" s="84">
        <v>165.87</v>
      </c>
      <c r="S171" s="84">
        <v>209.51999999999998</v>
      </c>
      <c r="T171" s="84">
        <v>174.6</v>
      </c>
      <c r="U171" s="84">
        <v>218.25</v>
      </c>
      <c r="V171" s="84">
        <v>165.87</v>
      </c>
      <c r="W171" s="84">
        <v>157.13999999999999</v>
      </c>
      <c r="X171" s="84">
        <v>218.25</v>
      </c>
      <c r="Y171" s="84">
        <v>165.87</v>
      </c>
      <c r="Z171" s="88"/>
      <c r="AA171" s="37">
        <f t="shared" si="177"/>
        <v>4893.165</v>
      </c>
      <c r="AB171" s="37">
        <f t="shared" si="178"/>
        <v>4893.165</v>
      </c>
      <c r="AC171" s="37">
        <f t="shared" si="179"/>
        <v>6180.8399999999992</v>
      </c>
      <c r="AD171" s="37">
        <f t="shared" si="180"/>
        <v>4893.165</v>
      </c>
      <c r="AE171" s="37">
        <f t="shared" si="181"/>
        <v>4893.165</v>
      </c>
      <c r="AF171" s="37">
        <f t="shared" si="182"/>
        <v>6180.8399999999992</v>
      </c>
      <c r="AG171" s="37">
        <f t="shared" si="183"/>
        <v>5150.7</v>
      </c>
      <c r="AH171" s="37">
        <f t="shared" si="184"/>
        <v>6438.375</v>
      </c>
      <c r="AI171" s="37">
        <f t="shared" si="185"/>
        <v>4893.165</v>
      </c>
      <c r="AJ171" s="37">
        <f t="shared" si="186"/>
        <v>4635.6299999999992</v>
      </c>
      <c r="AK171" s="37">
        <f t="shared" si="187"/>
        <v>6438.375</v>
      </c>
      <c r="AL171" s="37">
        <f t="shared" si="188"/>
        <v>4893.165</v>
      </c>
      <c r="AM171" s="120">
        <v>1</v>
      </c>
    </row>
    <row r="172" spans="1:39" s="91" customFormat="1" ht="15.6">
      <c r="A172" s="87" t="s">
        <v>92</v>
      </c>
      <c r="B172" s="92" t="s">
        <v>261</v>
      </c>
      <c r="C172" s="88" t="s">
        <v>282</v>
      </c>
      <c r="D172" s="88" t="s">
        <v>926</v>
      </c>
      <c r="E172" s="88" t="s">
        <v>283</v>
      </c>
      <c r="F172" s="83" t="s">
        <v>637</v>
      </c>
      <c r="G172" s="89" t="s">
        <v>73</v>
      </c>
      <c r="H172" s="89">
        <v>7</v>
      </c>
      <c r="I172" s="108">
        <v>95.5</v>
      </c>
      <c r="J172" s="88" t="s">
        <v>91</v>
      </c>
      <c r="K172" s="38" t="s">
        <v>264</v>
      </c>
      <c r="L172" s="38" t="s">
        <v>74</v>
      </c>
      <c r="M172" s="90" t="s">
        <v>2</v>
      </c>
      <c r="N172" s="84">
        <v>171</v>
      </c>
      <c r="O172" s="84">
        <v>171</v>
      </c>
      <c r="P172" s="84">
        <v>216</v>
      </c>
      <c r="Q172" s="84">
        <v>180</v>
      </c>
      <c r="R172" s="84">
        <v>171</v>
      </c>
      <c r="S172" s="84">
        <v>225</v>
      </c>
      <c r="T172" s="84">
        <v>171</v>
      </c>
      <c r="U172" s="84">
        <v>216</v>
      </c>
      <c r="V172" s="84">
        <v>171</v>
      </c>
      <c r="W172" s="84">
        <v>171</v>
      </c>
      <c r="X172" s="84">
        <v>216</v>
      </c>
      <c r="Y172" s="84">
        <v>171</v>
      </c>
      <c r="Z172" s="38"/>
      <c r="AA172" s="37">
        <f t="shared" si="177"/>
        <v>16330.5</v>
      </c>
      <c r="AB172" s="37">
        <f t="shared" si="178"/>
        <v>16330.5</v>
      </c>
      <c r="AC172" s="37">
        <f t="shared" si="179"/>
        <v>20628</v>
      </c>
      <c r="AD172" s="37">
        <f t="shared" si="180"/>
        <v>17190</v>
      </c>
      <c r="AE172" s="37">
        <f t="shared" si="181"/>
        <v>16330.5</v>
      </c>
      <c r="AF172" s="37">
        <f t="shared" si="182"/>
        <v>21487.5</v>
      </c>
      <c r="AG172" s="37">
        <f t="shared" si="183"/>
        <v>16330.5</v>
      </c>
      <c r="AH172" s="37">
        <f t="shared" si="184"/>
        <v>20628</v>
      </c>
      <c r="AI172" s="37">
        <f t="shared" si="185"/>
        <v>16330.5</v>
      </c>
      <c r="AJ172" s="37">
        <f t="shared" si="186"/>
        <v>16330.5</v>
      </c>
      <c r="AK172" s="37">
        <f t="shared" si="187"/>
        <v>20628</v>
      </c>
      <c r="AL172" s="37">
        <f t="shared" si="188"/>
        <v>16330.5</v>
      </c>
      <c r="AM172" s="120">
        <v>1</v>
      </c>
    </row>
    <row r="173" spans="1:39" s="91" customFormat="1" ht="15.6">
      <c r="A173" s="87" t="s">
        <v>92</v>
      </c>
      <c r="B173" s="92" t="s">
        <v>261</v>
      </c>
      <c r="C173" s="101" t="s">
        <v>284</v>
      </c>
      <c r="D173" s="101" t="s">
        <v>927</v>
      </c>
      <c r="E173" s="88" t="s">
        <v>285</v>
      </c>
      <c r="F173" s="83" t="s">
        <v>637</v>
      </c>
      <c r="G173" s="89" t="s">
        <v>73</v>
      </c>
      <c r="H173" s="89">
        <v>7</v>
      </c>
      <c r="I173" s="108">
        <v>126.5</v>
      </c>
      <c r="J173" s="88" t="s">
        <v>91</v>
      </c>
      <c r="K173" s="38" t="s">
        <v>264</v>
      </c>
      <c r="L173" s="38" t="s">
        <v>74</v>
      </c>
      <c r="M173" s="90" t="s">
        <v>2</v>
      </c>
      <c r="N173" s="84">
        <v>171</v>
      </c>
      <c r="O173" s="84">
        <v>171</v>
      </c>
      <c r="P173" s="84">
        <v>216</v>
      </c>
      <c r="Q173" s="84">
        <v>180</v>
      </c>
      <c r="R173" s="84">
        <v>171</v>
      </c>
      <c r="S173" s="84">
        <v>225</v>
      </c>
      <c r="T173" s="84">
        <v>171</v>
      </c>
      <c r="U173" s="84">
        <v>216</v>
      </c>
      <c r="V173" s="84">
        <v>171</v>
      </c>
      <c r="W173" s="84">
        <v>171</v>
      </c>
      <c r="X173" s="84">
        <v>216</v>
      </c>
      <c r="Y173" s="84">
        <v>171</v>
      </c>
      <c r="Z173" s="38"/>
      <c r="AA173" s="37">
        <f t="shared" si="177"/>
        <v>21631.5</v>
      </c>
      <c r="AB173" s="37">
        <f t="shared" si="178"/>
        <v>21631.5</v>
      </c>
      <c r="AC173" s="37">
        <f t="shared" si="179"/>
        <v>27324</v>
      </c>
      <c r="AD173" s="37">
        <f t="shared" si="180"/>
        <v>22770</v>
      </c>
      <c r="AE173" s="37">
        <f t="shared" si="181"/>
        <v>21631.5</v>
      </c>
      <c r="AF173" s="37">
        <f t="shared" si="182"/>
        <v>28462.5</v>
      </c>
      <c r="AG173" s="37">
        <f t="shared" si="183"/>
        <v>21631.5</v>
      </c>
      <c r="AH173" s="37">
        <f t="shared" si="184"/>
        <v>27324</v>
      </c>
      <c r="AI173" s="37">
        <f t="shared" si="185"/>
        <v>21631.5</v>
      </c>
      <c r="AJ173" s="37">
        <f t="shared" si="186"/>
        <v>21631.5</v>
      </c>
      <c r="AK173" s="37">
        <f t="shared" si="187"/>
        <v>27324</v>
      </c>
      <c r="AL173" s="37">
        <f t="shared" si="188"/>
        <v>21631.5</v>
      </c>
      <c r="AM173" s="120">
        <v>1</v>
      </c>
    </row>
    <row r="174" spans="1:39" s="91" customFormat="1" ht="15.6">
      <c r="A174" s="87" t="s">
        <v>92</v>
      </c>
      <c r="B174" s="92" t="s">
        <v>261</v>
      </c>
      <c r="C174" s="101" t="s">
        <v>1085</v>
      </c>
      <c r="D174" s="101" t="s">
        <v>1084</v>
      </c>
      <c r="E174" s="88" t="s">
        <v>1083</v>
      </c>
      <c r="F174" s="83" t="s">
        <v>112</v>
      </c>
      <c r="G174" s="89" t="s">
        <v>73</v>
      </c>
      <c r="H174" s="89">
        <v>7</v>
      </c>
      <c r="I174" s="108">
        <v>138</v>
      </c>
      <c r="J174" s="88" t="s">
        <v>91</v>
      </c>
      <c r="K174" s="38" t="s">
        <v>264</v>
      </c>
      <c r="L174" s="38" t="s">
        <v>74</v>
      </c>
      <c r="M174" s="131" t="s">
        <v>2</v>
      </c>
      <c r="N174" s="84"/>
      <c r="O174" s="84"/>
      <c r="P174" s="84">
        <v>216</v>
      </c>
      <c r="Q174" s="84">
        <v>180</v>
      </c>
      <c r="R174" s="84">
        <v>171</v>
      </c>
      <c r="S174" s="84">
        <v>225</v>
      </c>
      <c r="T174" s="84">
        <v>171</v>
      </c>
      <c r="U174" s="84">
        <v>216</v>
      </c>
      <c r="V174" s="84">
        <v>171</v>
      </c>
      <c r="W174" s="84">
        <v>171</v>
      </c>
      <c r="X174" s="84">
        <v>216</v>
      </c>
      <c r="Y174" s="84">
        <v>171</v>
      </c>
      <c r="Z174" s="38"/>
      <c r="AA174" s="37">
        <f t="shared" si="177"/>
        <v>0</v>
      </c>
      <c r="AB174" s="37">
        <f t="shared" si="178"/>
        <v>0</v>
      </c>
      <c r="AC174" s="37">
        <f t="shared" si="179"/>
        <v>29808</v>
      </c>
      <c r="AD174" s="37">
        <f t="shared" si="180"/>
        <v>24840</v>
      </c>
      <c r="AE174" s="37">
        <f t="shared" si="181"/>
        <v>23598</v>
      </c>
      <c r="AF174" s="37">
        <f t="shared" si="182"/>
        <v>31050</v>
      </c>
      <c r="AG174" s="37">
        <f t="shared" si="183"/>
        <v>23598</v>
      </c>
      <c r="AH174" s="37">
        <f t="shared" si="184"/>
        <v>29808</v>
      </c>
      <c r="AI174" s="37">
        <f t="shared" si="185"/>
        <v>23598</v>
      </c>
      <c r="AJ174" s="37">
        <f t="shared" si="186"/>
        <v>23598</v>
      </c>
      <c r="AK174" s="37">
        <f t="shared" si="187"/>
        <v>29808</v>
      </c>
      <c r="AL174" s="37">
        <f t="shared" si="188"/>
        <v>23598</v>
      </c>
      <c r="AM174" s="120">
        <v>1</v>
      </c>
    </row>
    <row r="175" spans="1:39" s="91" customFormat="1" ht="15.6">
      <c r="A175" s="87" t="s">
        <v>92</v>
      </c>
      <c r="B175" s="92" t="s">
        <v>261</v>
      </c>
      <c r="C175" s="88" t="s">
        <v>286</v>
      </c>
      <c r="D175" s="88" t="s">
        <v>928</v>
      </c>
      <c r="E175" s="38" t="s">
        <v>287</v>
      </c>
      <c r="F175" s="83" t="s">
        <v>29</v>
      </c>
      <c r="G175" s="83" t="s">
        <v>30</v>
      </c>
      <c r="H175" s="89" t="s">
        <v>31</v>
      </c>
      <c r="I175" s="108">
        <v>30.5</v>
      </c>
      <c r="J175" s="88" t="s">
        <v>91</v>
      </c>
      <c r="K175" s="38" t="s">
        <v>264</v>
      </c>
      <c r="L175" s="38" t="s">
        <v>34</v>
      </c>
      <c r="M175" s="90" t="s">
        <v>1</v>
      </c>
      <c r="N175" s="84">
        <v>165.87</v>
      </c>
      <c r="O175" s="84">
        <v>165.87</v>
      </c>
      <c r="P175" s="84">
        <v>209.51999999999998</v>
      </c>
      <c r="Q175" s="84">
        <v>165.87</v>
      </c>
      <c r="R175" s="84">
        <v>165.87</v>
      </c>
      <c r="S175" s="84">
        <v>209.51999999999998</v>
      </c>
      <c r="T175" s="84">
        <v>174.6</v>
      </c>
      <c r="U175" s="84">
        <v>218.25</v>
      </c>
      <c r="V175" s="84">
        <v>165.87</v>
      </c>
      <c r="W175" s="84">
        <v>157.13999999999999</v>
      </c>
      <c r="X175" s="84">
        <v>218.25</v>
      </c>
      <c r="Y175" s="84">
        <v>165.87</v>
      </c>
      <c r="Z175" s="38"/>
      <c r="AA175" s="37">
        <f t="shared" si="177"/>
        <v>5059.0349999999999</v>
      </c>
      <c r="AB175" s="37">
        <f t="shared" si="178"/>
        <v>5059.0349999999999</v>
      </c>
      <c r="AC175" s="37">
        <f t="shared" si="179"/>
        <v>6390.36</v>
      </c>
      <c r="AD175" s="37">
        <f t="shared" si="180"/>
        <v>5059.0349999999999</v>
      </c>
      <c r="AE175" s="37">
        <f t="shared" si="181"/>
        <v>5059.0349999999999</v>
      </c>
      <c r="AF175" s="37">
        <f t="shared" si="182"/>
        <v>6390.36</v>
      </c>
      <c r="AG175" s="37">
        <f t="shared" si="183"/>
        <v>5325.3</v>
      </c>
      <c r="AH175" s="37">
        <f t="shared" si="184"/>
        <v>6656.625</v>
      </c>
      <c r="AI175" s="37">
        <f t="shared" si="185"/>
        <v>5059.0349999999999</v>
      </c>
      <c r="AJ175" s="37">
        <f t="shared" si="186"/>
        <v>4792.7699999999995</v>
      </c>
      <c r="AK175" s="37">
        <f t="shared" si="187"/>
        <v>6656.625</v>
      </c>
      <c r="AL175" s="37">
        <f t="shared" si="188"/>
        <v>5059.0349999999999</v>
      </c>
      <c r="AM175" s="120">
        <v>1</v>
      </c>
    </row>
    <row r="176" spans="1:39" s="91" customFormat="1" ht="15.6">
      <c r="A176" s="87" t="s">
        <v>92</v>
      </c>
      <c r="B176" s="92" t="s">
        <v>261</v>
      </c>
      <c r="C176" s="88" t="s">
        <v>288</v>
      </c>
      <c r="D176" s="88" t="s">
        <v>929</v>
      </c>
      <c r="E176" s="38" t="s">
        <v>289</v>
      </c>
      <c r="F176" s="89" t="s">
        <v>29</v>
      </c>
      <c r="G176" s="89" t="s">
        <v>35</v>
      </c>
      <c r="H176" s="89" t="s">
        <v>31</v>
      </c>
      <c r="I176" s="108">
        <v>30.5</v>
      </c>
      <c r="J176" s="88" t="s">
        <v>91</v>
      </c>
      <c r="K176" s="38" t="s">
        <v>264</v>
      </c>
      <c r="L176" s="38" t="s">
        <v>34</v>
      </c>
      <c r="M176" s="90" t="s">
        <v>1</v>
      </c>
      <c r="N176" s="36">
        <v>174.6</v>
      </c>
      <c r="O176" s="36">
        <v>165.87</v>
      </c>
      <c r="P176" s="36">
        <v>200.79</v>
      </c>
      <c r="Q176" s="36">
        <v>174.6</v>
      </c>
      <c r="R176" s="36">
        <v>165.87</v>
      </c>
      <c r="S176" s="36">
        <v>209.51999999999998</v>
      </c>
      <c r="T176" s="36">
        <v>174.6</v>
      </c>
      <c r="U176" s="36">
        <v>218.25</v>
      </c>
      <c r="V176" s="36">
        <v>165.87</v>
      </c>
      <c r="W176" s="36">
        <v>157.13999999999999</v>
      </c>
      <c r="X176" s="36">
        <v>209.51999999999998</v>
      </c>
      <c r="Y176" s="36">
        <v>165.87</v>
      </c>
      <c r="Z176" s="38"/>
      <c r="AA176" s="37">
        <f t="shared" si="177"/>
        <v>5325.3</v>
      </c>
      <c r="AB176" s="37">
        <f t="shared" si="178"/>
        <v>5059.0349999999999</v>
      </c>
      <c r="AC176" s="37">
        <f t="shared" si="179"/>
        <v>6124.0949999999993</v>
      </c>
      <c r="AD176" s="37">
        <f t="shared" si="180"/>
        <v>5325.3</v>
      </c>
      <c r="AE176" s="37">
        <f t="shared" si="181"/>
        <v>5059.0349999999999</v>
      </c>
      <c r="AF176" s="37">
        <f t="shared" si="182"/>
        <v>6390.36</v>
      </c>
      <c r="AG176" s="37">
        <f t="shared" si="183"/>
        <v>5325.3</v>
      </c>
      <c r="AH176" s="37">
        <f t="shared" si="184"/>
        <v>6656.625</v>
      </c>
      <c r="AI176" s="37">
        <f t="shared" si="185"/>
        <v>5059.0349999999999</v>
      </c>
      <c r="AJ176" s="37">
        <f t="shared" si="186"/>
        <v>4792.7699999999995</v>
      </c>
      <c r="AK176" s="37">
        <f t="shared" si="187"/>
        <v>6390.36</v>
      </c>
      <c r="AL176" s="37">
        <f t="shared" si="188"/>
        <v>5059.0349999999999</v>
      </c>
      <c r="AM176" s="120">
        <v>1</v>
      </c>
    </row>
    <row r="177" spans="1:39" s="91" customFormat="1" ht="15.6">
      <c r="A177" s="87" t="s">
        <v>92</v>
      </c>
      <c r="B177" s="92" t="s">
        <v>261</v>
      </c>
      <c r="C177" s="96" t="s">
        <v>290</v>
      </c>
      <c r="D177" s="96" t="s">
        <v>792</v>
      </c>
      <c r="E177" s="38" t="s">
        <v>291</v>
      </c>
      <c r="F177" s="83" t="s">
        <v>29</v>
      </c>
      <c r="G177" s="89" t="s">
        <v>49</v>
      </c>
      <c r="H177" s="89" t="s">
        <v>36</v>
      </c>
      <c r="I177" s="108">
        <v>30</v>
      </c>
      <c r="J177" s="88" t="s">
        <v>91</v>
      </c>
      <c r="K177" s="38" t="s">
        <v>264</v>
      </c>
      <c r="L177" s="38" t="s">
        <v>34</v>
      </c>
      <c r="M177" s="90" t="s">
        <v>1</v>
      </c>
      <c r="N177" s="84">
        <v>90</v>
      </c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38" t="s">
        <v>741</v>
      </c>
      <c r="AA177" s="37">
        <f t="shared" si="177"/>
        <v>2700</v>
      </c>
      <c r="AB177" s="37">
        <f t="shared" si="178"/>
        <v>0</v>
      </c>
      <c r="AC177" s="37">
        <f t="shared" si="179"/>
        <v>0</v>
      </c>
      <c r="AD177" s="37">
        <f t="shared" si="180"/>
        <v>0</v>
      </c>
      <c r="AE177" s="37">
        <f t="shared" si="181"/>
        <v>0</v>
      </c>
      <c r="AF177" s="37">
        <f t="shared" si="182"/>
        <v>0</v>
      </c>
      <c r="AG177" s="37">
        <f t="shared" si="183"/>
        <v>0</v>
      </c>
      <c r="AH177" s="37">
        <f t="shared" si="184"/>
        <v>0</v>
      </c>
      <c r="AI177" s="37">
        <f t="shared" si="185"/>
        <v>0</v>
      </c>
      <c r="AJ177" s="37">
        <f t="shared" si="186"/>
        <v>0</v>
      </c>
      <c r="AK177" s="37">
        <f t="shared" si="187"/>
        <v>0</v>
      </c>
      <c r="AL177" s="37">
        <f t="shared" si="188"/>
        <v>0</v>
      </c>
      <c r="AM177" s="120">
        <v>1</v>
      </c>
    </row>
    <row r="178" spans="1:39" s="91" customFormat="1" ht="15.6">
      <c r="A178" s="87" t="s">
        <v>92</v>
      </c>
      <c r="B178" s="92" t="s">
        <v>261</v>
      </c>
      <c r="C178" s="96"/>
      <c r="D178" s="96" t="s">
        <v>807</v>
      </c>
      <c r="E178" s="38"/>
      <c r="F178" s="83"/>
      <c r="G178" s="89"/>
      <c r="H178" s="89"/>
      <c r="I178" s="108"/>
      <c r="J178" s="88"/>
      <c r="K178" s="38"/>
      <c r="L178" s="88" t="s">
        <v>74</v>
      </c>
      <c r="M178" s="90" t="s">
        <v>2</v>
      </c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38"/>
      <c r="AA178" s="37">
        <f t="shared" si="177"/>
        <v>0</v>
      </c>
      <c r="AB178" s="37">
        <f t="shared" si="178"/>
        <v>0</v>
      </c>
      <c r="AC178" s="37">
        <f t="shared" si="179"/>
        <v>0</v>
      </c>
      <c r="AD178" s="37">
        <f t="shared" si="180"/>
        <v>0</v>
      </c>
      <c r="AE178" s="37">
        <f t="shared" si="181"/>
        <v>0</v>
      </c>
      <c r="AF178" s="37">
        <f t="shared" si="182"/>
        <v>0</v>
      </c>
      <c r="AG178" s="37">
        <f t="shared" si="183"/>
        <v>0</v>
      </c>
      <c r="AH178" s="37">
        <f t="shared" si="184"/>
        <v>0</v>
      </c>
      <c r="AI178" s="37">
        <f t="shared" si="185"/>
        <v>0</v>
      </c>
      <c r="AJ178" s="37">
        <f t="shared" si="186"/>
        <v>0</v>
      </c>
      <c r="AK178" s="37">
        <f t="shared" si="187"/>
        <v>0</v>
      </c>
      <c r="AL178" s="37">
        <f t="shared" si="188"/>
        <v>0</v>
      </c>
      <c r="AM178" s="120">
        <v>1</v>
      </c>
    </row>
    <row r="179" spans="1:39" s="46" customFormat="1" ht="15.6">
      <c r="A179" s="39" t="s">
        <v>92</v>
      </c>
      <c r="B179" s="40" t="s">
        <v>261</v>
      </c>
      <c r="C179" s="41" t="s">
        <v>4</v>
      </c>
      <c r="D179" s="41" t="s">
        <v>4</v>
      </c>
      <c r="E179" s="41" t="s">
        <v>4</v>
      </c>
      <c r="F179" s="40" t="s">
        <v>4</v>
      </c>
      <c r="G179" s="40" t="s">
        <v>4</v>
      </c>
      <c r="H179" s="42"/>
      <c r="I179" s="108"/>
      <c r="J179" s="41" t="s">
        <v>4</v>
      </c>
      <c r="K179" s="41" t="s">
        <v>4</v>
      </c>
      <c r="L179" s="41" t="s">
        <v>4</v>
      </c>
      <c r="M179" s="41" t="s">
        <v>4</v>
      </c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79"/>
      <c r="AA179" s="44">
        <f t="shared" ref="AA179:AL179" si="201">((SUMIFS(AA1:AA391, $B$1:$B$391,"RAK0Y", $F$1:$F$391,"India")*0.15)+SUMIFS(AA1:AA391, $B$1:$B$391,"RAK0Y", $F$1:$F$391,"PH")*0.15)</f>
        <v>9828.29025</v>
      </c>
      <c r="AB179" s="44">
        <f t="shared" si="201"/>
        <v>8845.0177500000009</v>
      </c>
      <c r="AC179" s="44">
        <f t="shared" si="201"/>
        <v>11100.631499999998</v>
      </c>
      <c r="AD179" s="44">
        <f t="shared" si="201"/>
        <v>9207.0945000000011</v>
      </c>
      <c r="AE179" s="44">
        <f t="shared" si="201"/>
        <v>9081.4770000000008</v>
      </c>
      <c r="AF179" s="44">
        <f t="shared" si="201"/>
        <v>11311.442249999998</v>
      </c>
      <c r="AG179" s="44">
        <f t="shared" si="201"/>
        <v>9795.06</v>
      </c>
      <c r="AH179" s="44">
        <f t="shared" si="201"/>
        <v>12243.824999999999</v>
      </c>
      <c r="AI179" s="44">
        <f t="shared" si="201"/>
        <v>9305.3070000000007</v>
      </c>
      <c r="AJ179" s="44">
        <f t="shared" si="201"/>
        <v>8815.5539999999983</v>
      </c>
      <c r="AK179" s="44">
        <f t="shared" si="201"/>
        <v>12171.802499999998</v>
      </c>
      <c r="AL179" s="44">
        <f t="shared" si="201"/>
        <v>9305.3070000000007</v>
      </c>
      <c r="AM179" s="45"/>
    </row>
    <row r="180" spans="1:39" s="46" customFormat="1" ht="15.6">
      <c r="A180" s="39" t="s">
        <v>92</v>
      </c>
      <c r="B180" s="40" t="s">
        <v>261</v>
      </c>
      <c r="C180" s="41" t="s">
        <v>5</v>
      </c>
      <c r="D180" s="41" t="s">
        <v>5</v>
      </c>
      <c r="E180" s="41" t="s">
        <v>5</v>
      </c>
      <c r="F180" s="40" t="s">
        <v>5</v>
      </c>
      <c r="G180" s="40" t="s">
        <v>5</v>
      </c>
      <c r="H180" s="42"/>
      <c r="I180" s="108"/>
      <c r="J180" s="41" t="s">
        <v>5</v>
      </c>
      <c r="K180" s="41" t="s">
        <v>5</v>
      </c>
      <c r="L180" s="41" t="s">
        <v>5</v>
      </c>
      <c r="M180" s="41" t="s">
        <v>5</v>
      </c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79"/>
      <c r="AA180" s="44">
        <v>2000</v>
      </c>
      <c r="AB180" s="44">
        <v>2000</v>
      </c>
      <c r="AC180" s="44">
        <v>2200</v>
      </c>
      <c r="AD180" s="44">
        <v>2000</v>
      </c>
      <c r="AE180" s="44">
        <v>2200</v>
      </c>
      <c r="AF180" s="44">
        <v>2000</v>
      </c>
      <c r="AG180" s="44">
        <v>2000</v>
      </c>
      <c r="AH180" s="44">
        <v>2200</v>
      </c>
      <c r="AI180" s="44">
        <v>2000</v>
      </c>
      <c r="AJ180" s="44">
        <v>4000</v>
      </c>
      <c r="AK180" s="44">
        <v>5000</v>
      </c>
      <c r="AL180" s="44">
        <v>4000</v>
      </c>
      <c r="AM180" s="45"/>
    </row>
    <row r="181" spans="1:39" s="46" customFormat="1" ht="15.6">
      <c r="A181" s="39" t="s">
        <v>92</v>
      </c>
      <c r="B181" s="40" t="s">
        <v>261</v>
      </c>
      <c r="C181" s="41" t="s">
        <v>6</v>
      </c>
      <c r="D181" s="41" t="s">
        <v>6</v>
      </c>
      <c r="E181" s="41" t="s">
        <v>6</v>
      </c>
      <c r="F181" s="40" t="s">
        <v>6</v>
      </c>
      <c r="G181" s="40" t="s">
        <v>6</v>
      </c>
      <c r="H181" s="42"/>
      <c r="I181" s="108"/>
      <c r="J181" s="41" t="s">
        <v>6</v>
      </c>
      <c r="K181" s="41" t="s">
        <v>6</v>
      </c>
      <c r="L181" s="41" t="s">
        <v>6</v>
      </c>
      <c r="M181" s="41" t="s">
        <v>6</v>
      </c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79"/>
      <c r="AA181" s="44">
        <f>(54*9*4*0.6)</f>
        <v>1166.3999999999999</v>
      </c>
      <c r="AB181" s="44">
        <f>(54*9*4*0.6)</f>
        <v>1166.3999999999999</v>
      </c>
      <c r="AC181" s="44">
        <f>(54*9*5*0.6)</f>
        <v>1458</v>
      </c>
      <c r="AD181" s="44">
        <f>(54*9*4*0.6)</f>
        <v>1166.3999999999999</v>
      </c>
      <c r="AE181" s="44">
        <f>(54*9*4*0.6)</f>
        <v>1166.3999999999999</v>
      </c>
      <c r="AF181" s="44">
        <f>(54*9*5*0.6)</f>
        <v>1458</v>
      </c>
      <c r="AG181" s="44">
        <f>(54*9*4*0.6)</f>
        <v>1166.3999999999999</v>
      </c>
      <c r="AH181" s="44">
        <f>(54*9*5*0.6)</f>
        <v>1458</v>
      </c>
      <c r="AI181" s="44">
        <f>(54*9*4*0.6)</f>
        <v>1166.3999999999999</v>
      </c>
      <c r="AJ181" s="44">
        <f>(54*9*4*0.6)</f>
        <v>1166.3999999999999</v>
      </c>
      <c r="AK181" s="44">
        <f>(54*9*5*0.6)</f>
        <v>1458</v>
      </c>
      <c r="AL181" s="44">
        <f>(54*9*4*0.6)</f>
        <v>1166.3999999999999</v>
      </c>
      <c r="AM181" s="45"/>
    </row>
    <row r="182" spans="1:39" s="91" customFormat="1" ht="15.6">
      <c r="A182" s="87" t="s">
        <v>92</v>
      </c>
      <c r="B182" s="83" t="s">
        <v>292</v>
      </c>
      <c r="C182" s="38" t="s">
        <v>565</v>
      </c>
      <c r="D182" s="38" t="s">
        <v>930</v>
      </c>
      <c r="E182" s="88" t="s">
        <v>307</v>
      </c>
      <c r="F182" s="83" t="s">
        <v>72</v>
      </c>
      <c r="G182" s="83" t="s">
        <v>73</v>
      </c>
      <c r="H182" s="89">
        <v>7</v>
      </c>
      <c r="I182" s="108">
        <v>160</v>
      </c>
      <c r="J182" s="88" t="s">
        <v>91</v>
      </c>
      <c r="K182" s="38" t="s">
        <v>568</v>
      </c>
      <c r="L182" s="38" t="s">
        <v>74</v>
      </c>
      <c r="M182" s="90" t="s">
        <v>2</v>
      </c>
      <c r="N182" s="84">
        <v>152</v>
      </c>
      <c r="O182" s="84">
        <v>152</v>
      </c>
      <c r="P182" s="84">
        <v>192</v>
      </c>
      <c r="Q182" s="84">
        <v>160</v>
      </c>
      <c r="R182" s="84">
        <v>152</v>
      </c>
      <c r="S182" s="84">
        <v>200</v>
      </c>
      <c r="T182" s="84">
        <v>152</v>
      </c>
      <c r="U182" s="84">
        <v>192</v>
      </c>
      <c r="V182" s="84">
        <v>152</v>
      </c>
      <c r="W182" s="84">
        <v>152</v>
      </c>
      <c r="X182" s="84">
        <v>192</v>
      </c>
      <c r="Y182" s="84">
        <v>152</v>
      </c>
      <c r="Z182" s="38"/>
      <c r="AA182" s="37">
        <f t="shared" ref="AA182:AA192" si="202">$I182*N182</f>
        <v>24320</v>
      </c>
      <c r="AB182" s="37">
        <f t="shared" ref="AB182:AB192" si="203">$I182*O182</f>
        <v>24320</v>
      </c>
      <c r="AC182" s="37">
        <f t="shared" ref="AC182:AC192" si="204">$I182*P182</f>
        <v>30720</v>
      </c>
      <c r="AD182" s="37">
        <f t="shared" ref="AD182:AD192" si="205">$I182*Q182</f>
        <v>25600</v>
      </c>
      <c r="AE182" s="37">
        <f t="shared" ref="AE182:AE192" si="206">$I182*R182</f>
        <v>24320</v>
      </c>
      <c r="AF182" s="37">
        <f t="shared" ref="AF182:AF192" si="207">$I182*S182</f>
        <v>32000</v>
      </c>
      <c r="AG182" s="37">
        <f t="shared" ref="AG182:AG192" si="208">$I182*T182</f>
        <v>24320</v>
      </c>
      <c r="AH182" s="37">
        <f t="shared" ref="AH182:AH192" si="209">$I182*U182</f>
        <v>30720</v>
      </c>
      <c r="AI182" s="37">
        <f t="shared" ref="AI182:AI192" si="210">$I182*V182</f>
        <v>24320</v>
      </c>
      <c r="AJ182" s="37">
        <f t="shared" ref="AJ182:AJ192" si="211">$I182*W182</f>
        <v>24320</v>
      </c>
      <c r="AK182" s="37">
        <f t="shared" ref="AK182:AK192" si="212">$I182*X182</f>
        <v>30720</v>
      </c>
      <c r="AL182" s="37">
        <f t="shared" ref="AL182:AL192" si="213">$I182*Y182</f>
        <v>24320</v>
      </c>
      <c r="AM182" s="120">
        <v>1</v>
      </c>
    </row>
    <row r="183" spans="1:39" s="91" customFormat="1" ht="15.6">
      <c r="A183" s="87" t="s">
        <v>92</v>
      </c>
      <c r="B183" s="83" t="s">
        <v>292</v>
      </c>
      <c r="C183" s="88" t="s">
        <v>293</v>
      </c>
      <c r="D183" s="88" t="s">
        <v>931</v>
      </c>
      <c r="E183" s="88" t="s">
        <v>294</v>
      </c>
      <c r="F183" s="89" t="s">
        <v>29</v>
      </c>
      <c r="G183" s="83" t="s">
        <v>41</v>
      </c>
      <c r="H183" s="89" t="s">
        <v>60</v>
      </c>
      <c r="I183" s="108">
        <v>19</v>
      </c>
      <c r="J183" s="88" t="s">
        <v>91</v>
      </c>
      <c r="K183" s="38" t="s">
        <v>568</v>
      </c>
      <c r="L183" s="38" t="s">
        <v>34</v>
      </c>
      <c r="M183" s="90" t="s">
        <v>1</v>
      </c>
      <c r="N183" s="84">
        <v>165.87</v>
      </c>
      <c r="O183" s="84">
        <v>165.87</v>
      </c>
      <c r="P183" s="84">
        <v>209.51999999999998</v>
      </c>
      <c r="Q183" s="84">
        <v>174.6</v>
      </c>
      <c r="R183" s="84">
        <v>165.87</v>
      </c>
      <c r="S183" s="84">
        <v>200.79</v>
      </c>
      <c r="T183" s="84">
        <v>174.6</v>
      </c>
      <c r="U183" s="84">
        <v>218.25</v>
      </c>
      <c r="V183" s="84">
        <v>165.87</v>
      </c>
      <c r="W183" s="84">
        <v>157.13999999999999</v>
      </c>
      <c r="X183" s="84">
        <v>218.25</v>
      </c>
      <c r="Y183" s="84">
        <v>165.87</v>
      </c>
      <c r="Z183" s="88"/>
      <c r="AA183" s="37">
        <f t="shared" si="202"/>
        <v>3151.53</v>
      </c>
      <c r="AB183" s="37">
        <f t="shared" si="203"/>
        <v>3151.53</v>
      </c>
      <c r="AC183" s="37">
        <f t="shared" si="204"/>
        <v>3980.8799999999997</v>
      </c>
      <c r="AD183" s="37">
        <f t="shared" si="205"/>
        <v>3317.4</v>
      </c>
      <c r="AE183" s="37">
        <f t="shared" si="206"/>
        <v>3151.53</v>
      </c>
      <c r="AF183" s="37">
        <f t="shared" si="207"/>
        <v>3815.0099999999998</v>
      </c>
      <c r="AG183" s="37">
        <f t="shared" si="208"/>
        <v>3317.4</v>
      </c>
      <c r="AH183" s="37">
        <f t="shared" si="209"/>
        <v>4146.75</v>
      </c>
      <c r="AI183" s="37">
        <f t="shared" si="210"/>
        <v>3151.53</v>
      </c>
      <c r="AJ183" s="37">
        <f t="shared" si="211"/>
        <v>2985.66</v>
      </c>
      <c r="AK183" s="37">
        <f t="shared" si="212"/>
        <v>4146.75</v>
      </c>
      <c r="AL183" s="37">
        <f t="shared" si="213"/>
        <v>3151.53</v>
      </c>
      <c r="AM183" s="120">
        <v>1</v>
      </c>
    </row>
    <row r="184" spans="1:39" s="91" customFormat="1" ht="15.6">
      <c r="A184" s="87" t="s">
        <v>92</v>
      </c>
      <c r="B184" s="83" t="s">
        <v>292</v>
      </c>
      <c r="C184" s="88" t="s">
        <v>771</v>
      </c>
      <c r="D184" s="88" t="s">
        <v>782</v>
      </c>
      <c r="E184" s="88" t="s">
        <v>762</v>
      </c>
      <c r="F184" s="89" t="s">
        <v>29</v>
      </c>
      <c r="G184" s="83" t="s">
        <v>674</v>
      </c>
      <c r="H184" s="89" t="s">
        <v>60</v>
      </c>
      <c r="I184" s="108">
        <v>17.5</v>
      </c>
      <c r="J184" s="88" t="s">
        <v>91</v>
      </c>
      <c r="K184" s="38" t="s">
        <v>568</v>
      </c>
      <c r="L184" s="38" t="s">
        <v>34</v>
      </c>
      <c r="M184" s="90" t="s">
        <v>1</v>
      </c>
      <c r="N184" s="84"/>
      <c r="O184" s="84">
        <v>165.87</v>
      </c>
      <c r="P184" s="84">
        <v>209.51999999999998</v>
      </c>
      <c r="Q184" s="84">
        <v>174.6</v>
      </c>
      <c r="R184" s="84">
        <v>126</v>
      </c>
      <c r="S184" s="84">
        <v>200.79</v>
      </c>
      <c r="T184" s="84">
        <v>174.6</v>
      </c>
      <c r="U184" s="84">
        <v>218.25</v>
      </c>
      <c r="V184" s="84">
        <v>165.87</v>
      </c>
      <c r="W184" s="84">
        <v>157.13999999999999</v>
      </c>
      <c r="X184" s="84">
        <v>218.25</v>
      </c>
      <c r="Y184" s="84">
        <v>165.87</v>
      </c>
      <c r="Z184" s="88"/>
      <c r="AA184" s="37">
        <f t="shared" si="202"/>
        <v>0</v>
      </c>
      <c r="AB184" s="37">
        <f t="shared" si="203"/>
        <v>2902.7249999999999</v>
      </c>
      <c r="AC184" s="37">
        <f t="shared" si="204"/>
        <v>3666.5999999999995</v>
      </c>
      <c r="AD184" s="37">
        <f t="shared" si="205"/>
        <v>3055.5</v>
      </c>
      <c r="AE184" s="37">
        <f t="shared" si="206"/>
        <v>2205</v>
      </c>
      <c r="AF184" s="37">
        <f t="shared" si="207"/>
        <v>3513.8249999999998</v>
      </c>
      <c r="AG184" s="37">
        <f t="shared" si="208"/>
        <v>3055.5</v>
      </c>
      <c r="AH184" s="37">
        <f t="shared" si="209"/>
        <v>3819.375</v>
      </c>
      <c r="AI184" s="37">
        <f t="shared" si="210"/>
        <v>2902.7249999999999</v>
      </c>
      <c r="AJ184" s="37">
        <f t="shared" si="211"/>
        <v>2749.95</v>
      </c>
      <c r="AK184" s="37">
        <f t="shared" si="212"/>
        <v>3819.375</v>
      </c>
      <c r="AL184" s="37">
        <f t="shared" si="213"/>
        <v>2902.7249999999999</v>
      </c>
      <c r="AM184" s="120">
        <v>1</v>
      </c>
    </row>
    <row r="185" spans="1:39" s="91" customFormat="1" ht="15.6">
      <c r="A185" s="87" t="s">
        <v>92</v>
      </c>
      <c r="B185" s="83" t="s">
        <v>292</v>
      </c>
      <c r="C185" s="88" t="s">
        <v>295</v>
      </c>
      <c r="D185" s="88" t="s">
        <v>932</v>
      </c>
      <c r="E185" s="88" t="s">
        <v>296</v>
      </c>
      <c r="F185" s="89" t="s">
        <v>29</v>
      </c>
      <c r="G185" s="89" t="s">
        <v>221</v>
      </c>
      <c r="H185" s="89" t="s">
        <v>31</v>
      </c>
      <c r="I185" s="108">
        <v>30.5</v>
      </c>
      <c r="J185" s="88" t="s">
        <v>91</v>
      </c>
      <c r="K185" s="38" t="s">
        <v>568</v>
      </c>
      <c r="L185" s="38" t="s">
        <v>34</v>
      </c>
      <c r="M185" s="90" t="s">
        <v>1</v>
      </c>
      <c r="N185" s="36">
        <v>174.6</v>
      </c>
      <c r="O185" s="36">
        <v>165.87</v>
      </c>
      <c r="P185" s="36">
        <v>200.79</v>
      </c>
      <c r="Q185" s="36">
        <v>174.6</v>
      </c>
      <c r="R185" s="36">
        <v>165.87</v>
      </c>
      <c r="S185" s="36">
        <v>209.51999999999998</v>
      </c>
      <c r="T185" s="36">
        <v>174.6</v>
      </c>
      <c r="U185" s="36">
        <v>218.25</v>
      </c>
      <c r="V185" s="36">
        <v>165.87</v>
      </c>
      <c r="W185" s="36">
        <v>157.13999999999999</v>
      </c>
      <c r="X185" s="36">
        <v>209.51999999999998</v>
      </c>
      <c r="Y185" s="36">
        <v>165.87</v>
      </c>
      <c r="Z185" s="88"/>
      <c r="AA185" s="37">
        <f t="shared" si="202"/>
        <v>5325.3</v>
      </c>
      <c r="AB185" s="37">
        <f t="shared" si="203"/>
        <v>5059.0349999999999</v>
      </c>
      <c r="AC185" s="37">
        <f t="shared" si="204"/>
        <v>6124.0949999999993</v>
      </c>
      <c r="AD185" s="37">
        <f t="shared" si="205"/>
        <v>5325.3</v>
      </c>
      <c r="AE185" s="37">
        <f t="shared" si="206"/>
        <v>5059.0349999999999</v>
      </c>
      <c r="AF185" s="37">
        <f t="shared" si="207"/>
        <v>6390.36</v>
      </c>
      <c r="AG185" s="37">
        <f t="shared" si="208"/>
        <v>5325.3</v>
      </c>
      <c r="AH185" s="37">
        <f t="shared" si="209"/>
        <v>6656.625</v>
      </c>
      <c r="AI185" s="37">
        <f t="shared" si="210"/>
        <v>5059.0349999999999</v>
      </c>
      <c r="AJ185" s="37">
        <f t="shared" si="211"/>
        <v>4792.7699999999995</v>
      </c>
      <c r="AK185" s="37">
        <f t="shared" si="212"/>
        <v>6390.36</v>
      </c>
      <c r="AL185" s="37">
        <f t="shared" si="213"/>
        <v>5059.0349999999999</v>
      </c>
      <c r="AM185" s="120">
        <v>1</v>
      </c>
    </row>
    <row r="186" spans="1:39" s="91" customFormat="1" ht="15.6">
      <c r="A186" s="87" t="s">
        <v>92</v>
      </c>
      <c r="B186" s="83" t="s">
        <v>292</v>
      </c>
      <c r="C186" s="100" t="s">
        <v>298</v>
      </c>
      <c r="D186" s="100" t="s">
        <v>933</v>
      </c>
      <c r="E186" s="88" t="s">
        <v>299</v>
      </c>
      <c r="F186" s="83" t="s">
        <v>112</v>
      </c>
      <c r="G186" s="89" t="s">
        <v>73</v>
      </c>
      <c r="H186" s="83">
        <v>8</v>
      </c>
      <c r="I186" s="108">
        <v>132.5</v>
      </c>
      <c r="J186" s="88" t="s">
        <v>91</v>
      </c>
      <c r="K186" s="38" t="s">
        <v>568</v>
      </c>
      <c r="L186" s="38" t="s">
        <v>74</v>
      </c>
      <c r="M186" s="90" t="s">
        <v>2</v>
      </c>
      <c r="N186" s="84">
        <v>152</v>
      </c>
      <c r="O186" s="84">
        <v>152</v>
      </c>
      <c r="P186" s="84">
        <v>192</v>
      </c>
      <c r="Q186" s="84">
        <v>160</v>
      </c>
      <c r="R186" s="84">
        <v>152</v>
      </c>
      <c r="S186" s="84">
        <v>200</v>
      </c>
      <c r="T186" s="84">
        <v>152</v>
      </c>
      <c r="U186" s="84">
        <v>192</v>
      </c>
      <c r="V186" s="84">
        <v>152</v>
      </c>
      <c r="W186" s="84">
        <v>152</v>
      </c>
      <c r="X186" s="84">
        <v>192</v>
      </c>
      <c r="Y186" s="84">
        <v>152</v>
      </c>
      <c r="Z186" s="38"/>
      <c r="AA186" s="37">
        <f t="shared" si="202"/>
        <v>20140</v>
      </c>
      <c r="AB186" s="37">
        <f t="shared" si="203"/>
        <v>20140</v>
      </c>
      <c r="AC186" s="37">
        <f t="shared" si="204"/>
        <v>25440</v>
      </c>
      <c r="AD186" s="37">
        <f t="shared" si="205"/>
        <v>21200</v>
      </c>
      <c r="AE186" s="37">
        <f t="shared" si="206"/>
        <v>20140</v>
      </c>
      <c r="AF186" s="37">
        <f t="shared" si="207"/>
        <v>26500</v>
      </c>
      <c r="AG186" s="37">
        <f t="shared" si="208"/>
        <v>20140</v>
      </c>
      <c r="AH186" s="37">
        <f t="shared" si="209"/>
        <v>25440</v>
      </c>
      <c r="AI186" s="37">
        <f t="shared" si="210"/>
        <v>20140</v>
      </c>
      <c r="AJ186" s="37">
        <f t="shared" si="211"/>
        <v>20140</v>
      </c>
      <c r="AK186" s="37">
        <f t="shared" si="212"/>
        <v>25440</v>
      </c>
      <c r="AL186" s="37">
        <f t="shared" si="213"/>
        <v>20140</v>
      </c>
      <c r="AM186" s="120">
        <v>0.5</v>
      </c>
    </row>
    <row r="187" spans="1:39" s="91" customFormat="1" ht="15.6">
      <c r="A187" s="87" t="s">
        <v>92</v>
      </c>
      <c r="B187" s="83" t="s">
        <v>292</v>
      </c>
      <c r="C187" s="100" t="s">
        <v>300</v>
      </c>
      <c r="D187" s="100" t="s">
        <v>934</v>
      </c>
      <c r="E187" s="88" t="s">
        <v>301</v>
      </c>
      <c r="F187" s="83" t="s">
        <v>29</v>
      </c>
      <c r="G187" s="83" t="s">
        <v>39</v>
      </c>
      <c r="H187" s="89" t="s">
        <v>31</v>
      </c>
      <c r="I187" s="108">
        <v>30.5</v>
      </c>
      <c r="J187" s="88" t="s">
        <v>91</v>
      </c>
      <c r="K187" s="38" t="s">
        <v>568</v>
      </c>
      <c r="L187" s="38" t="s">
        <v>34</v>
      </c>
      <c r="M187" s="90" t="s">
        <v>1</v>
      </c>
      <c r="N187" s="84">
        <v>165.87</v>
      </c>
      <c r="O187" s="84">
        <v>165.87</v>
      </c>
      <c r="P187" s="84">
        <v>209.51999999999998</v>
      </c>
      <c r="Q187" s="84">
        <v>174.6</v>
      </c>
      <c r="R187" s="84">
        <v>165.87</v>
      </c>
      <c r="S187" s="84">
        <v>200.79</v>
      </c>
      <c r="T187" s="84">
        <v>174.6</v>
      </c>
      <c r="U187" s="84">
        <v>218.25</v>
      </c>
      <c r="V187" s="84">
        <v>165.87</v>
      </c>
      <c r="W187" s="84">
        <v>157.13999999999999</v>
      </c>
      <c r="X187" s="84">
        <v>218.25</v>
      </c>
      <c r="Y187" s="84">
        <v>165.87</v>
      </c>
      <c r="Z187" s="38"/>
      <c r="AA187" s="37">
        <f t="shared" si="202"/>
        <v>5059.0349999999999</v>
      </c>
      <c r="AB187" s="37">
        <f t="shared" si="203"/>
        <v>5059.0349999999999</v>
      </c>
      <c r="AC187" s="37">
        <f t="shared" si="204"/>
        <v>6390.36</v>
      </c>
      <c r="AD187" s="37">
        <f t="shared" si="205"/>
        <v>5325.3</v>
      </c>
      <c r="AE187" s="37">
        <f t="shared" si="206"/>
        <v>5059.0349999999999</v>
      </c>
      <c r="AF187" s="37">
        <f t="shared" si="207"/>
        <v>6124.0949999999993</v>
      </c>
      <c r="AG187" s="37">
        <f t="shared" si="208"/>
        <v>5325.3</v>
      </c>
      <c r="AH187" s="37">
        <f t="shared" si="209"/>
        <v>6656.625</v>
      </c>
      <c r="AI187" s="37">
        <f t="shared" si="210"/>
        <v>5059.0349999999999</v>
      </c>
      <c r="AJ187" s="37">
        <f t="shared" si="211"/>
        <v>4792.7699999999995</v>
      </c>
      <c r="AK187" s="37">
        <f t="shared" si="212"/>
        <v>6656.625</v>
      </c>
      <c r="AL187" s="37">
        <f t="shared" si="213"/>
        <v>5059.0349999999999</v>
      </c>
      <c r="AM187" s="120">
        <v>1</v>
      </c>
    </row>
    <row r="188" spans="1:39" s="91" customFormat="1" ht="15.6">
      <c r="A188" s="87" t="s">
        <v>92</v>
      </c>
      <c r="B188" s="83" t="s">
        <v>292</v>
      </c>
      <c r="C188" s="100" t="s">
        <v>302</v>
      </c>
      <c r="D188" s="100" t="s">
        <v>935</v>
      </c>
      <c r="E188" s="88" t="s">
        <v>303</v>
      </c>
      <c r="F188" s="83" t="s">
        <v>29</v>
      </c>
      <c r="G188" s="83" t="s">
        <v>30</v>
      </c>
      <c r="H188" s="89" t="s">
        <v>31</v>
      </c>
      <c r="I188" s="108">
        <v>37</v>
      </c>
      <c r="J188" s="88" t="s">
        <v>91</v>
      </c>
      <c r="K188" s="38" t="s">
        <v>568</v>
      </c>
      <c r="L188" s="38" t="s">
        <v>34</v>
      </c>
      <c r="M188" s="90" t="s">
        <v>1</v>
      </c>
      <c r="N188" s="84">
        <v>165.87</v>
      </c>
      <c r="O188" s="84">
        <v>165.87</v>
      </c>
      <c r="P188" s="84">
        <v>105</v>
      </c>
      <c r="Q188" s="84"/>
      <c r="R188" s="84"/>
      <c r="S188" s="84"/>
      <c r="T188" s="84"/>
      <c r="U188" s="84"/>
      <c r="V188" s="84"/>
      <c r="W188" s="84"/>
      <c r="X188" s="84"/>
      <c r="Y188" s="84"/>
      <c r="Z188" s="38" t="s">
        <v>761</v>
      </c>
      <c r="AA188" s="37">
        <f t="shared" si="202"/>
        <v>6137.1900000000005</v>
      </c>
      <c r="AB188" s="37">
        <f t="shared" si="203"/>
        <v>6137.1900000000005</v>
      </c>
      <c r="AC188" s="37">
        <f t="shared" si="204"/>
        <v>3885</v>
      </c>
      <c r="AD188" s="37">
        <f t="shared" si="205"/>
        <v>0</v>
      </c>
      <c r="AE188" s="37">
        <f t="shared" si="206"/>
        <v>0</v>
      </c>
      <c r="AF188" s="37">
        <f t="shared" si="207"/>
        <v>0</v>
      </c>
      <c r="AG188" s="37">
        <f t="shared" si="208"/>
        <v>0</v>
      </c>
      <c r="AH188" s="37">
        <f t="shared" si="209"/>
        <v>0</v>
      </c>
      <c r="AI188" s="37">
        <f t="shared" si="210"/>
        <v>0</v>
      </c>
      <c r="AJ188" s="37">
        <f t="shared" si="211"/>
        <v>0</v>
      </c>
      <c r="AK188" s="37">
        <f t="shared" si="212"/>
        <v>0</v>
      </c>
      <c r="AL188" s="37">
        <f t="shared" si="213"/>
        <v>0</v>
      </c>
      <c r="AM188" s="120">
        <v>1</v>
      </c>
    </row>
    <row r="189" spans="1:39" s="91" customFormat="1" ht="15.6">
      <c r="A189" s="87" t="s">
        <v>92</v>
      </c>
      <c r="B189" s="83" t="s">
        <v>292</v>
      </c>
      <c r="C189" s="88" t="s">
        <v>304</v>
      </c>
      <c r="D189" s="88" t="s">
        <v>936</v>
      </c>
      <c r="E189" s="88" t="s">
        <v>305</v>
      </c>
      <c r="F189" s="83" t="s">
        <v>29</v>
      </c>
      <c r="G189" s="83" t="s">
        <v>30</v>
      </c>
      <c r="H189" s="89" t="s">
        <v>31</v>
      </c>
      <c r="I189" s="108">
        <v>30.5</v>
      </c>
      <c r="J189" s="88" t="s">
        <v>91</v>
      </c>
      <c r="K189" s="38" t="s">
        <v>568</v>
      </c>
      <c r="L189" s="38" t="s">
        <v>34</v>
      </c>
      <c r="M189" s="90" t="s">
        <v>1</v>
      </c>
      <c r="N189" s="84">
        <v>165.87</v>
      </c>
      <c r="O189" s="84">
        <v>165.87</v>
      </c>
      <c r="P189" s="84">
        <v>209.51999999999998</v>
      </c>
      <c r="Q189" s="84">
        <v>165.87</v>
      </c>
      <c r="R189" s="84">
        <v>165.87</v>
      </c>
      <c r="S189" s="84">
        <v>209.51999999999998</v>
      </c>
      <c r="T189" s="84">
        <v>174.6</v>
      </c>
      <c r="U189" s="84">
        <v>218.25</v>
      </c>
      <c r="V189" s="84">
        <v>165.87</v>
      </c>
      <c r="W189" s="84">
        <v>157.13999999999999</v>
      </c>
      <c r="X189" s="84">
        <v>218.25</v>
      </c>
      <c r="Y189" s="84">
        <v>165.87</v>
      </c>
      <c r="Z189" s="38"/>
      <c r="AA189" s="37">
        <f t="shared" si="202"/>
        <v>5059.0349999999999</v>
      </c>
      <c r="AB189" s="37">
        <f t="shared" si="203"/>
        <v>5059.0349999999999</v>
      </c>
      <c r="AC189" s="37">
        <f t="shared" si="204"/>
        <v>6390.36</v>
      </c>
      <c r="AD189" s="37">
        <f t="shared" si="205"/>
        <v>5059.0349999999999</v>
      </c>
      <c r="AE189" s="37">
        <f t="shared" si="206"/>
        <v>5059.0349999999999</v>
      </c>
      <c r="AF189" s="37">
        <f t="shared" si="207"/>
        <v>6390.36</v>
      </c>
      <c r="AG189" s="37">
        <f t="shared" si="208"/>
        <v>5325.3</v>
      </c>
      <c r="AH189" s="37">
        <f t="shared" si="209"/>
        <v>6656.625</v>
      </c>
      <c r="AI189" s="37">
        <f t="shared" si="210"/>
        <v>5059.0349999999999</v>
      </c>
      <c r="AJ189" s="37">
        <f t="shared" si="211"/>
        <v>4792.7699999999995</v>
      </c>
      <c r="AK189" s="37">
        <f t="shared" si="212"/>
        <v>6656.625</v>
      </c>
      <c r="AL189" s="37">
        <f t="shared" si="213"/>
        <v>5059.0349999999999</v>
      </c>
      <c r="AM189" s="120">
        <v>1</v>
      </c>
    </row>
    <row r="190" spans="1:39" s="91" customFormat="1" ht="15.6">
      <c r="A190" s="87" t="s">
        <v>92</v>
      </c>
      <c r="B190" s="83" t="s">
        <v>292</v>
      </c>
      <c r="C190" s="96" t="s">
        <v>308</v>
      </c>
      <c r="D190" s="96" t="s">
        <v>937</v>
      </c>
      <c r="E190" s="88" t="s">
        <v>309</v>
      </c>
      <c r="F190" s="83" t="s">
        <v>29</v>
      </c>
      <c r="G190" s="83" t="s">
        <v>30</v>
      </c>
      <c r="H190" s="83" t="s">
        <v>31</v>
      </c>
      <c r="I190" s="108">
        <v>30.5</v>
      </c>
      <c r="J190" s="88" t="s">
        <v>91</v>
      </c>
      <c r="K190" s="38" t="s">
        <v>568</v>
      </c>
      <c r="L190" s="38" t="s">
        <v>34</v>
      </c>
      <c r="M190" s="90" t="s">
        <v>1</v>
      </c>
      <c r="N190" s="84">
        <v>165.87</v>
      </c>
      <c r="O190" s="84">
        <v>165.87</v>
      </c>
      <c r="P190" s="84">
        <v>209.51999999999998</v>
      </c>
      <c r="Q190" s="84">
        <v>165.87</v>
      </c>
      <c r="R190" s="84">
        <v>165.87</v>
      </c>
      <c r="S190" s="84">
        <v>209.51999999999998</v>
      </c>
      <c r="T190" s="84">
        <v>174.6</v>
      </c>
      <c r="U190" s="84">
        <v>218.25</v>
      </c>
      <c r="V190" s="84">
        <v>165.87</v>
      </c>
      <c r="W190" s="84">
        <v>157.13999999999999</v>
      </c>
      <c r="X190" s="84">
        <v>218.25</v>
      </c>
      <c r="Y190" s="84">
        <v>165.87</v>
      </c>
      <c r="Z190" s="38"/>
      <c r="AA190" s="37">
        <f t="shared" si="202"/>
        <v>5059.0349999999999</v>
      </c>
      <c r="AB190" s="37">
        <f t="shared" si="203"/>
        <v>5059.0349999999999</v>
      </c>
      <c r="AC190" s="37">
        <f t="shared" si="204"/>
        <v>6390.36</v>
      </c>
      <c r="AD190" s="37">
        <f t="shared" si="205"/>
        <v>5059.0349999999999</v>
      </c>
      <c r="AE190" s="37">
        <f t="shared" si="206"/>
        <v>5059.0349999999999</v>
      </c>
      <c r="AF190" s="37">
        <f t="shared" si="207"/>
        <v>6390.36</v>
      </c>
      <c r="AG190" s="37">
        <f t="shared" si="208"/>
        <v>5325.3</v>
      </c>
      <c r="AH190" s="37">
        <f t="shared" si="209"/>
        <v>6656.625</v>
      </c>
      <c r="AI190" s="37">
        <f t="shared" si="210"/>
        <v>5059.0349999999999</v>
      </c>
      <c r="AJ190" s="37">
        <f t="shared" si="211"/>
        <v>4792.7699999999995</v>
      </c>
      <c r="AK190" s="37">
        <f t="shared" si="212"/>
        <v>6656.625</v>
      </c>
      <c r="AL190" s="37">
        <f t="shared" si="213"/>
        <v>5059.0349999999999</v>
      </c>
      <c r="AM190" s="120">
        <v>1</v>
      </c>
    </row>
    <row r="191" spans="1:39" s="91" customFormat="1" ht="15.6">
      <c r="A191" s="96" t="s">
        <v>92</v>
      </c>
      <c r="B191" s="83" t="s">
        <v>292</v>
      </c>
      <c r="C191" s="38" t="s">
        <v>564</v>
      </c>
      <c r="D191" s="38" t="s">
        <v>793</v>
      </c>
      <c r="E191" s="88" t="s">
        <v>306</v>
      </c>
      <c r="F191" s="83" t="s">
        <v>72</v>
      </c>
      <c r="G191" s="83" t="s">
        <v>73</v>
      </c>
      <c r="H191" s="89">
        <v>7</v>
      </c>
      <c r="I191" s="108">
        <v>112</v>
      </c>
      <c r="J191" s="88" t="s">
        <v>91</v>
      </c>
      <c r="K191" s="38" t="s">
        <v>568</v>
      </c>
      <c r="L191" s="38" t="s">
        <v>74</v>
      </c>
      <c r="M191" s="90" t="s">
        <v>2</v>
      </c>
      <c r="N191" s="84">
        <v>152</v>
      </c>
      <c r="O191" s="84">
        <v>152</v>
      </c>
      <c r="P191" s="84">
        <v>192</v>
      </c>
      <c r="Q191" s="84">
        <v>160</v>
      </c>
      <c r="R191" s="84">
        <v>152</v>
      </c>
      <c r="S191" s="84">
        <v>200</v>
      </c>
      <c r="T191" s="84">
        <v>152</v>
      </c>
      <c r="U191" s="84">
        <v>192</v>
      </c>
      <c r="V191" s="84">
        <v>152</v>
      </c>
      <c r="W191" s="84">
        <v>152</v>
      </c>
      <c r="X191" s="84">
        <v>192</v>
      </c>
      <c r="Y191" s="84">
        <v>152</v>
      </c>
      <c r="Z191" s="38"/>
      <c r="AA191" s="37">
        <f t="shared" si="202"/>
        <v>17024</v>
      </c>
      <c r="AB191" s="37">
        <f t="shared" si="203"/>
        <v>17024</v>
      </c>
      <c r="AC191" s="37">
        <f t="shared" si="204"/>
        <v>21504</v>
      </c>
      <c r="AD191" s="37">
        <f t="shared" si="205"/>
        <v>17920</v>
      </c>
      <c r="AE191" s="37">
        <f t="shared" si="206"/>
        <v>17024</v>
      </c>
      <c r="AF191" s="37">
        <f t="shared" si="207"/>
        <v>22400</v>
      </c>
      <c r="AG191" s="37">
        <f t="shared" si="208"/>
        <v>17024</v>
      </c>
      <c r="AH191" s="37">
        <f t="shared" si="209"/>
        <v>21504</v>
      </c>
      <c r="AI191" s="37">
        <f t="shared" si="210"/>
        <v>17024</v>
      </c>
      <c r="AJ191" s="37">
        <f t="shared" si="211"/>
        <v>17024</v>
      </c>
      <c r="AK191" s="37">
        <f t="shared" si="212"/>
        <v>21504</v>
      </c>
      <c r="AL191" s="37">
        <f t="shared" si="213"/>
        <v>17024</v>
      </c>
      <c r="AM191" s="120">
        <v>1</v>
      </c>
    </row>
    <row r="192" spans="1:39" s="91" customFormat="1" ht="15.6">
      <c r="A192" s="87" t="s">
        <v>92</v>
      </c>
      <c r="B192" s="83" t="s">
        <v>292</v>
      </c>
      <c r="C192" s="96"/>
      <c r="D192" s="96" t="s">
        <v>807</v>
      </c>
      <c r="E192" s="88"/>
      <c r="F192" s="83"/>
      <c r="G192" s="83"/>
      <c r="H192" s="83"/>
      <c r="I192" s="108"/>
      <c r="J192" s="88"/>
      <c r="K192" s="38"/>
      <c r="L192" s="88" t="s">
        <v>74</v>
      </c>
      <c r="M192" s="90" t="s">
        <v>2</v>
      </c>
      <c r="N192" s="84"/>
      <c r="O192" s="86"/>
      <c r="P192" s="84"/>
      <c r="Q192" s="84"/>
      <c r="R192" s="84"/>
      <c r="S192" s="86"/>
      <c r="T192" s="84"/>
      <c r="U192" s="84"/>
      <c r="V192" s="84"/>
      <c r="W192" s="84"/>
      <c r="X192" s="84"/>
      <c r="Y192" s="84"/>
      <c r="Z192" s="38"/>
      <c r="AA192" s="37">
        <f t="shared" si="202"/>
        <v>0</v>
      </c>
      <c r="AB192" s="37">
        <f t="shared" si="203"/>
        <v>0</v>
      </c>
      <c r="AC192" s="37">
        <f t="shared" si="204"/>
        <v>0</v>
      </c>
      <c r="AD192" s="37">
        <f t="shared" si="205"/>
        <v>0</v>
      </c>
      <c r="AE192" s="37">
        <f t="shared" si="206"/>
        <v>0</v>
      </c>
      <c r="AF192" s="37">
        <f t="shared" si="207"/>
        <v>0</v>
      </c>
      <c r="AG192" s="37">
        <f t="shared" si="208"/>
        <v>0</v>
      </c>
      <c r="AH192" s="37">
        <f t="shared" si="209"/>
        <v>0</v>
      </c>
      <c r="AI192" s="37">
        <f t="shared" si="210"/>
        <v>0</v>
      </c>
      <c r="AJ192" s="37">
        <f t="shared" si="211"/>
        <v>0</v>
      </c>
      <c r="AK192" s="37">
        <f t="shared" si="212"/>
        <v>0</v>
      </c>
      <c r="AL192" s="37">
        <f t="shared" si="213"/>
        <v>0</v>
      </c>
      <c r="AM192" s="120">
        <v>1</v>
      </c>
    </row>
    <row r="193" spans="1:39" s="46" customFormat="1" ht="15.6">
      <c r="A193" s="39" t="s">
        <v>92</v>
      </c>
      <c r="B193" s="40" t="s">
        <v>292</v>
      </c>
      <c r="C193" s="41" t="s">
        <v>4</v>
      </c>
      <c r="D193" s="41" t="s">
        <v>4</v>
      </c>
      <c r="E193" s="41" t="s">
        <v>4</v>
      </c>
      <c r="F193" s="40" t="s">
        <v>4</v>
      </c>
      <c r="G193" s="40" t="s">
        <v>4</v>
      </c>
      <c r="H193" s="42"/>
      <c r="I193" s="108"/>
      <c r="J193" s="41" t="s">
        <v>4</v>
      </c>
      <c r="K193" s="41" t="s">
        <v>4</v>
      </c>
      <c r="L193" s="41" t="s">
        <v>4</v>
      </c>
      <c r="M193" s="41" t="s">
        <v>4</v>
      </c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79"/>
      <c r="AA193" s="44">
        <f t="shared" ref="AA193:AL193" si="214">((SUMIFS(AA1:AA391, $B$1:$B$391,"RAL89", $F$1:$F$391,"India")*0.15)+SUMIFS(AA1:AA391, $B$1:$B$391,"RAL89", $F$1:$F$391,"PH")*0.15)</f>
        <v>4468.6687499999998</v>
      </c>
      <c r="AB193" s="44">
        <f t="shared" si="214"/>
        <v>4864.1377499999999</v>
      </c>
      <c r="AC193" s="44">
        <f t="shared" si="214"/>
        <v>5524.1482499999993</v>
      </c>
      <c r="AD193" s="44">
        <f t="shared" si="214"/>
        <v>4071.2354999999998</v>
      </c>
      <c r="AE193" s="44">
        <f t="shared" si="214"/>
        <v>3838.9005000000002</v>
      </c>
      <c r="AF193" s="44">
        <f t="shared" si="214"/>
        <v>4893.6014999999998</v>
      </c>
      <c r="AG193" s="44">
        <f t="shared" si="214"/>
        <v>4151.1149999999998</v>
      </c>
      <c r="AH193" s="44">
        <f t="shared" si="214"/>
        <v>5188.8937500000002</v>
      </c>
      <c r="AI193" s="44">
        <f t="shared" si="214"/>
        <v>3943.5592499999998</v>
      </c>
      <c r="AJ193" s="44">
        <f t="shared" si="214"/>
        <v>3736.0034999999998</v>
      </c>
      <c r="AK193" s="44">
        <f t="shared" si="214"/>
        <v>5148.9539999999997</v>
      </c>
      <c r="AL193" s="44">
        <f t="shared" si="214"/>
        <v>3943.5592499999998</v>
      </c>
      <c r="AM193" s="45"/>
    </row>
    <row r="194" spans="1:39" s="46" customFormat="1" ht="15.6">
      <c r="A194" s="39" t="s">
        <v>92</v>
      </c>
      <c r="B194" s="40" t="s">
        <v>292</v>
      </c>
      <c r="C194" s="41" t="s">
        <v>5</v>
      </c>
      <c r="D194" s="41" t="s">
        <v>5</v>
      </c>
      <c r="E194" s="41" t="s">
        <v>5</v>
      </c>
      <c r="F194" s="40" t="s">
        <v>5</v>
      </c>
      <c r="G194" s="40" t="s">
        <v>5</v>
      </c>
      <c r="H194" s="42"/>
      <c r="I194" s="108"/>
      <c r="J194" s="41" t="s">
        <v>5</v>
      </c>
      <c r="K194" s="41" t="s">
        <v>5</v>
      </c>
      <c r="L194" s="41" t="s">
        <v>5</v>
      </c>
      <c r="M194" s="41" t="s">
        <v>5</v>
      </c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79"/>
      <c r="AA194" s="44">
        <v>2000</v>
      </c>
      <c r="AB194" s="44">
        <v>2000</v>
      </c>
      <c r="AC194" s="44">
        <v>2200</v>
      </c>
      <c r="AD194" s="44">
        <v>2000</v>
      </c>
      <c r="AE194" s="44">
        <v>2000</v>
      </c>
      <c r="AF194" s="44">
        <v>2200</v>
      </c>
      <c r="AG194" s="44">
        <v>2000</v>
      </c>
      <c r="AH194" s="44">
        <v>2200</v>
      </c>
      <c r="AI194" s="44">
        <v>2000</v>
      </c>
      <c r="AJ194" s="44">
        <v>2000</v>
      </c>
      <c r="AK194" s="44">
        <v>2200</v>
      </c>
      <c r="AL194" s="44">
        <v>2000</v>
      </c>
      <c r="AM194" s="45"/>
    </row>
    <row r="195" spans="1:39" s="46" customFormat="1" ht="15.6">
      <c r="A195" s="39" t="s">
        <v>92</v>
      </c>
      <c r="B195" s="40" t="s">
        <v>292</v>
      </c>
      <c r="C195" s="41" t="s">
        <v>6</v>
      </c>
      <c r="D195" s="41" t="s">
        <v>6</v>
      </c>
      <c r="E195" s="41" t="s">
        <v>6</v>
      </c>
      <c r="F195" s="40" t="s">
        <v>6</v>
      </c>
      <c r="G195" s="40" t="s">
        <v>6</v>
      </c>
      <c r="H195" s="42"/>
      <c r="I195" s="108"/>
      <c r="J195" s="41" t="s">
        <v>6</v>
      </c>
      <c r="K195" s="41" t="s">
        <v>6</v>
      </c>
      <c r="L195" s="41" t="s">
        <v>6</v>
      </c>
      <c r="M195" s="41" t="s">
        <v>6</v>
      </c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79"/>
      <c r="AA195" s="44">
        <f>(54*4*4*0.6)</f>
        <v>518.4</v>
      </c>
      <c r="AB195" s="44">
        <f>(54*4*4*0.6)</f>
        <v>518.4</v>
      </c>
      <c r="AC195" s="44">
        <f>(54*5*5*0.6)</f>
        <v>810</v>
      </c>
      <c r="AD195" s="44">
        <f>(54*4*4*0.6)</f>
        <v>518.4</v>
      </c>
      <c r="AE195" s="44">
        <f>(54*4*4*0.6)</f>
        <v>518.4</v>
      </c>
      <c r="AF195" s="44">
        <f>(54*5*5*0.6)</f>
        <v>810</v>
      </c>
      <c r="AG195" s="44">
        <f>(54*4*4*0.6)</f>
        <v>518.4</v>
      </c>
      <c r="AH195" s="44">
        <f>(54*4*5*0.6)</f>
        <v>648</v>
      </c>
      <c r="AI195" s="44">
        <f>(54*5*4*0.6)</f>
        <v>648</v>
      </c>
      <c r="AJ195" s="44">
        <f>(54*4*4*0.6)</f>
        <v>518.4</v>
      </c>
      <c r="AK195" s="44">
        <f>(54*4*5*0.6)</f>
        <v>648</v>
      </c>
      <c r="AL195" s="44">
        <f>(54*5*4*0.6)</f>
        <v>648</v>
      </c>
      <c r="AM195" s="45"/>
    </row>
    <row r="196" spans="1:39" s="91" customFormat="1" ht="15.6">
      <c r="A196" s="87" t="s">
        <v>92</v>
      </c>
      <c r="B196" s="83" t="s">
        <v>310</v>
      </c>
      <c r="C196" s="96" t="s">
        <v>311</v>
      </c>
      <c r="D196" s="96" t="s">
        <v>938</v>
      </c>
      <c r="E196" s="96" t="s">
        <v>312</v>
      </c>
      <c r="F196" s="83" t="s">
        <v>72</v>
      </c>
      <c r="G196" s="83" t="s">
        <v>73</v>
      </c>
      <c r="H196" s="89">
        <v>7</v>
      </c>
      <c r="I196" s="108">
        <v>160</v>
      </c>
      <c r="J196" s="88" t="s">
        <v>125</v>
      </c>
      <c r="K196" s="96" t="s">
        <v>313</v>
      </c>
      <c r="L196" s="38" t="s">
        <v>74</v>
      </c>
      <c r="M196" s="90" t="s">
        <v>2</v>
      </c>
      <c r="N196" s="84">
        <v>152</v>
      </c>
      <c r="O196" s="84">
        <v>152</v>
      </c>
      <c r="P196" s="84">
        <v>192</v>
      </c>
      <c r="Q196" s="84">
        <v>160</v>
      </c>
      <c r="R196" s="84">
        <v>40</v>
      </c>
      <c r="S196" s="84">
        <v>200</v>
      </c>
      <c r="T196" s="84">
        <v>152</v>
      </c>
      <c r="U196" s="84">
        <v>192</v>
      </c>
      <c r="V196" s="84">
        <v>152</v>
      </c>
      <c r="W196" s="84">
        <v>152</v>
      </c>
      <c r="X196" s="84">
        <v>192</v>
      </c>
      <c r="Y196" s="84">
        <v>152</v>
      </c>
      <c r="Z196" s="38"/>
      <c r="AA196" s="37">
        <f t="shared" ref="AA196:AA198" si="215">$I196*N196</f>
        <v>24320</v>
      </c>
      <c r="AB196" s="37">
        <f t="shared" ref="AB196:AB198" si="216">$I196*O196</f>
        <v>24320</v>
      </c>
      <c r="AC196" s="37">
        <f t="shared" ref="AC196:AC198" si="217">$I196*P196</f>
        <v>30720</v>
      </c>
      <c r="AD196" s="37">
        <f t="shared" ref="AD196:AD198" si="218">$I196*Q196</f>
        <v>25600</v>
      </c>
      <c r="AE196" s="37">
        <f t="shared" ref="AE196:AE198" si="219">$I196*R196</f>
        <v>6400</v>
      </c>
      <c r="AF196" s="37">
        <f t="shared" ref="AF196:AF198" si="220">$I196*S196</f>
        <v>32000</v>
      </c>
      <c r="AG196" s="37">
        <f t="shared" ref="AG196:AG198" si="221">$I196*T196</f>
        <v>24320</v>
      </c>
      <c r="AH196" s="37">
        <f t="shared" ref="AH196:AH198" si="222">$I196*U196</f>
        <v>30720</v>
      </c>
      <c r="AI196" s="37">
        <f t="shared" ref="AI196:AI198" si="223">$I196*V196</f>
        <v>24320</v>
      </c>
      <c r="AJ196" s="37">
        <f t="shared" ref="AJ196:AJ198" si="224">$I196*W196</f>
        <v>24320</v>
      </c>
      <c r="AK196" s="37">
        <f t="shared" ref="AK196:AK198" si="225">$I196*X196</f>
        <v>30720</v>
      </c>
      <c r="AL196" s="37">
        <f t="shared" ref="AL196:AL198" si="226">$I196*Y196</f>
        <v>24320</v>
      </c>
      <c r="AM196" s="120">
        <v>1</v>
      </c>
    </row>
    <row r="197" spans="1:39" s="91" customFormat="1" ht="15.6">
      <c r="A197" s="87" t="s">
        <v>92</v>
      </c>
      <c r="B197" s="83" t="s">
        <v>310</v>
      </c>
      <c r="C197" s="88" t="s">
        <v>641</v>
      </c>
      <c r="D197" s="88" t="s">
        <v>939</v>
      </c>
      <c r="E197" s="88" t="s">
        <v>640</v>
      </c>
      <c r="F197" s="83" t="s">
        <v>29</v>
      </c>
      <c r="G197" s="89" t="s">
        <v>297</v>
      </c>
      <c r="H197" s="89" t="s">
        <v>60</v>
      </c>
      <c r="I197" s="108">
        <v>19</v>
      </c>
      <c r="J197" s="88" t="s">
        <v>125</v>
      </c>
      <c r="K197" s="96" t="s">
        <v>313</v>
      </c>
      <c r="L197" s="38" t="s">
        <v>34</v>
      </c>
      <c r="M197" s="90" t="s">
        <v>1</v>
      </c>
      <c r="N197" s="36">
        <v>174.6</v>
      </c>
      <c r="O197" s="36">
        <v>165.87</v>
      </c>
      <c r="P197" s="36">
        <v>200.79</v>
      </c>
      <c r="Q197" s="36">
        <v>174.6</v>
      </c>
      <c r="R197" s="36">
        <v>165.87</v>
      </c>
      <c r="S197" s="36">
        <v>209.51999999999998</v>
      </c>
      <c r="T197" s="36">
        <v>174.6</v>
      </c>
      <c r="U197" s="36">
        <v>218.25</v>
      </c>
      <c r="V197" s="36">
        <v>165.87</v>
      </c>
      <c r="W197" s="36">
        <v>157.13999999999999</v>
      </c>
      <c r="X197" s="36">
        <v>209.51999999999998</v>
      </c>
      <c r="Y197" s="36">
        <v>165.87</v>
      </c>
      <c r="Z197" s="38"/>
      <c r="AA197" s="37">
        <f t="shared" si="215"/>
        <v>3317.4</v>
      </c>
      <c r="AB197" s="37">
        <f t="shared" si="216"/>
        <v>3151.53</v>
      </c>
      <c r="AC197" s="37">
        <f t="shared" si="217"/>
        <v>3815.0099999999998</v>
      </c>
      <c r="AD197" s="37">
        <f t="shared" si="218"/>
        <v>3317.4</v>
      </c>
      <c r="AE197" s="37">
        <f t="shared" si="219"/>
        <v>3151.53</v>
      </c>
      <c r="AF197" s="37">
        <f t="shared" si="220"/>
        <v>3980.8799999999997</v>
      </c>
      <c r="AG197" s="37">
        <f t="shared" si="221"/>
        <v>3317.4</v>
      </c>
      <c r="AH197" s="37">
        <f t="shared" si="222"/>
        <v>4146.75</v>
      </c>
      <c r="AI197" s="37">
        <f t="shared" si="223"/>
        <v>3151.53</v>
      </c>
      <c r="AJ197" s="37">
        <f t="shared" si="224"/>
        <v>2985.66</v>
      </c>
      <c r="AK197" s="37">
        <f t="shared" si="225"/>
        <v>3980.8799999999997</v>
      </c>
      <c r="AL197" s="37">
        <f t="shared" si="226"/>
        <v>3151.53</v>
      </c>
      <c r="AM197" s="120">
        <v>1</v>
      </c>
    </row>
    <row r="198" spans="1:39" s="91" customFormat="1" ht="15.6">
      <c r="A198" s="87" t="s">
        <v>92</v>
      </c>
      <c r="B198" s="83" t="s">
        <v>310</v>
      </c>
      <c r="C198" s="96" t="s">
        <v>314</v>
      </c>
      <c r="D198" s="96" t="s">
        <v>940</v>
      </c>
      <c r="E198" s="96" t="s">
        <v>315</v>
      </c>
      <c r="F198" s="83" t="s">
        <v>29</v>
      </c>
      <c r="G198" s="83" t="s">
        <v>35</v>
      </c>
      <c r="H198" s="89" t="s">
        <v>36</v>
      </c>
      <c r="I198" s="108">
        <v>29.5</v>
      </c>
      <c r="J198" s="88" t="s">
        <v>125</v>
      </c>
      <c r="K198" s="96" t="s">
        <v>313</v>
      </c>
      <c r="L198" s="38" t="s">
        <v>34</v>
      </c>
      <c r="M198" s="90" t="s">
        <v>1</v>
      </c>
      <c r="N198" s="36">
        <v>174.6</v>
      </c>
      <c r="O198" s="36">
        <v>165.87</v>
      </c>
      <c r="P198" s="36">
        <v>200.79</v>
      </c>
      <c r="Q198" s="36">
        <v>174.6</v>
      </c>
      <c r="R198" s="36">
        <v>165.87</v>
      </c>
      <c r="S198" s="36">
        <v>209.51999999999998</v>
      </c>
      <c r="T198" s="36">
        <v>174.6</v>
      </c>
      <c r="U198" s="36">
        <v>218.25</v>
      </c>
      <c r="V198" s="36">
        <v>165.87</v>
      </c>
      <c r="W198" s="36">
        <v>157.13999999999999</v>
      </c>
      <c r="X198" s="36">
        <v>209.51999999999998</v>
      </c>
      <c r="Y198" s="36">
        <v>165.87</v>
      </c>
      <c r="Z198" s="38"/>
      <c r="AA198" s="37">
        <f t="shared" si="215"/>
        <v>5150.7</v>
      </c>
      <c r="AB198" s="37">
        <f t="shared" si="216"/>
        <v>4893.165</v>
      </c>
      <c r="AC198" s="37">
        <f t="shared" si="217"/>
        <v>5923.3049999999994</v>
      </c>
      <c r="AD198" s="37">
        <f t="shared" si="218"/>
        <v>5150.7</v>
      </c>
      <c r="AE198" s="37">
        <f t="shared" si="219"/>
        <v>4893.165</v>
      </c>
      <c r="AF198" s="37">
        <f t="shared" si="220"/>
        <v>6180.8399999999992</v>
      </c>
      <c r="AG198" s="37">
        <f t="shared" si="221"/>
        <v>5150.7</v>
      </c>
      <c r="AH198" s="37">
        <f t="shared" si="222"/>
        <v>6438.375</v>
      </c>
      <c r="AI198" s="37">
        <f t="shared" si="223"/>
        <v>4893.165</v>
      </c>
      <c r="AJ198" s="37">
        <f t="shared" si="224"/>
        <v>4635.6299999999992</v>
      </c>
      <c r="AK198" s="37">
        <f t="shared" si="225"/>
        <v>6180.8399999999992</v>
      </c>
      <c r="AL198" s="37">
        <f t="shared" si="226"/>
        <v>4893.165</v>
      </c>
      <c r="AM198" s="120">
        <v>1</v>
      </c>
    </row>
    <row r="199" spans="1:39" s="46" customFormat="1" ht="15.6">
      <c r="A199" s="39" t="s">
        <v>92</v>
      </c>
      <c r="B199" s="40" t="s">
        <v>310</v>
      </c>
      <c r="C199" s="41" t="s">
        <v>4</v>
      </c>
      <c r="D199" s="41" t="s">
        <v>4</v>
      </c>
      <c r="E199" s="41" t="s">
        <v>4</v>
      </c>
      <c r="F199" s="40" t="s">
        <v>4</v>
      </c>
      <c r="G199" s="40" t="s">
        <v>4</v>
      </c>
      <c r="H199" s="42"/>
      <c r="I199" s="108"/>
      <c r="J199" s="41" t="s">
        <v>4</v>
      </c>
      <c r="K199" s="41" t="s">
        <v>4</v>
      </c>
      <c r="L199" s="41" t="s">
        <v>4</v>
      </c>
      <c r="M199" s="41" t="s">
        <v>4</v>
      </c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79"/>
      <c r="AA199" s="44">
        <f t="shared" ref="AA199:AL199" si="227">((SUMIFS(AA1:AA391, $B$1:$B$391,"RAN49", $F$1:$F$391,"India")*0.15)+SUMIFS(AA1:AA391, $B$1:$B$391,"RAN49", $F$1:$F$391,"PH")*0.15)</f>
        <v>1270.2149999999999</v>
      </c>
      <c r="AB199" s="44">
        <f t="shared" si="227"/>
        <v>1206.70425</v>
      </c>
      <c r="AC199" s="44">
        <f t="shared" si="227"/>
        <v>1460.7472499999997</v>
      </c>
      <c r="AD199" s="44">
        <f t="shared" si="227"/>
        <v>1270.2149999999999</v>
      </c>
      <c r="AE199" s="44">
        <f t="shared" si="227"/>
        <v>1206.70425</v>
      </c>
      <c r="AF199" s="44">
        <f t="shared" si="227"/>
        <v>1524.2579999999998</v>
      </c>
      <c r="AG199" s="44">
        <f t="shared" si="227"/>
        <v>1270.2149999999999</v>
      </c>
      <c r="AH199" s="44">
        <f t="shared" si="227"/>
        <v>1587.76875</v>
      </c>
      <c r="AI199" s="44">
        <f t="shared" si="227"/>
        <v>1206.70425</v>
      </c>
      <c r="AJ199" s="44">
        <f t="shared" si="227"/>
        <v>1143.1934999999999</v>
      </c>
      <c r="AK199" s="44">
        <f t="shared" si="227"/>
        <v>1524.2579999999998</v>
      </c>
      <c r="AL199" s="44">
        <f t="shared" si="227"/>
        <v>1206.70425</v>
      </c>
      <c r="AM199" s="45"/>
    </row>
    <row r="200" spans="1:39" s="46" customFormat="1" ht="15.6">
      <c r="A200" s="39" t="s">
        <v>92</v>
      </c>
      <c r="B200" s="40" t="s">
        <v>310</v>
      </c>
      <c r="C200" s="41" t="s">
        <v>5</v>
      </c>
      <c r="D200" s="41" t="s">
        <v>5</v>
      </c>
      <c r="E200" s="41" t="s">
        <v>5</v>
      </c>
      <c r="F200" s="40" t="s">
        <v>5</v>
      </c>
      <c r="G200" s="40" t="s">
        <v>5</v>
      </c>
      <c r="H200" s="42"/>
      <c r="I200" s="108"/>
      <c r="J200" s="41" t="s">
        <v>5</v>
      </c>
      <c r="K200" s="41" t="s">
        <v>5</v>
      </c>
      <c r="L200" s="41" t="s">
        <v>5</v>
      </c>
      <c r="M200" s="41" t="s">
        <v>5</v>
      </c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79"/>
      <c r="AA200" s="44">
        <v>1000</v>
      </c>
      <c r="AB200" s="44">
        <v>1000</v>
      </c>
      <c r="AC200" s="44">
        <v>1200</v>
      </c>
      <c r="AD200" s="44">
        <v>1000</v>
      </c>
      <c r="AE200" s="44">
        <v>1000</v>
      </c>
      <c r="AF200" s="44">
        <v>1200</v>
      </c>
      <c r="AG200" s="44">
        <v>1000</v>
      </c>
      <c r="AH200" s="44">
        <v>1200</v>
      </c>
      <c r="AI200" s="44">
        <v>1000</v>
      </c>
      <c r="AJ200" s="44">
        <v>1000</v>
      </c>
      <c r="AK200" s="44">
        <v>1200</v>
      </c>
      <c r="AL200" s="44">
        <v>1000</v>
      </c>
      <c r="AM200" s="45"/>
    </row>
    <row r="201" spans="1:39" s="46" customFormat="1" ht="15.6">
      <c r="A201" s="39" t="s">
        <v>92</v>
      </c>
      <c r="B201" s="40" t="s">
        <v>310</v>
      </c>
      <c r="C201" s="41" t="s">
        <v>6</v>
      </c>
      <c r="D201" s="41" t="s">
        <v>6</v>
      </c>
      <c r="E201" s="41" t="s">
        <v>6</v>
      </c>
      <c r="F201" s="40" t="s">
        <v>6</v>
      </c>
      <c r="G201" s="40" t="s">
        <v>6</v>
      </c>
      <c r="H201" s="42"/>
      <c r="I201" s="108"/>
      <c r="J201" s="41" t="s">
        <v>6</v>
      </c>
      <c r="K201" s="41" t="s">
        <v>6</v>
      </c>
      <c r="L201" s="41" t="s">
        <v>6</v>
      </c>
      <c r="M201" s="41" t="s">
        <v>6</v>
      </c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79"/>
      <c r="AA201" s="44">
        <f>(54*2*4*0.6)</f>
        <v>259.2</v>
      </c>
      <c r="AB201" s="44">
        <f>(54*2*4*0.6)</f>
        <v>259.2</v>
      </c>
      <c r="AC201" s="44">
        <f>(54*2*5*0.6)</f>
        <v>324</v>
      </c>
      <c r="AD201" s="44">
        <f>(54*2*4*0.6)</f>
        <v>259.2</v>
      </c>
      <c r="AE201" s="44">
        <f>(54*2*4*0.6)</f>
        <v>259.2</v>
      </c>
      <c r="AF201" s="44">
        <f>(54*2*5*0.6)</f>
        <v>324</v>
      </c>
      <c r="AG201" s="44">
        <f>(54*2*4*0.6)</f>
        <v>259.2</v>
      </c>
      <c r="AH201" s="44">
        <f>(54*2*5*0.6)</f>
        <v>324</v>
      </c>
      <c r="AI201" s="44">
        <f>(54*2*4*0.6)</f>
        <v>259.2</v>
      </c>
      <c r="AJ201" s="44">
        <f>(54*2*4*0.6)</f>
        <v>259.2</v>
      </c>
      <c r="AK201" s="44">
        <f>(54*2*5*0.6)</f>
        <v>324</v>
      </c>
      <c r="AL201" s="44">
        <f>(54*2*4*0.6)</f>
        <v>259.2</v>
      </c>
      <c r="AM201" s="45"/>
    </row>
    <row r="202" spans="1:39" s="91" customFormat="1" ht="15.6">
      <c r="A202" s="87" t="s">
        <v>92</v>
      </c>
      <c r="B202" s="83" t="s">
        <v>625</v>
      </c>
      <c r="C202" s="96" t="s">
        <v>621</v>
      </c>
      <c r="D202" s="96" t="s">
        <v>941</v>
      </c>
      <c r="E202" s="96" t="s">
        <v>622</v>
      </c>
      <c r="F202" s="83" t="s">
        <v>29</v>
      </c>
      <c r="G202" s="83" t="s">
        <v>100</v>
      </c>
      <c r="H202" s="89" t="s">
        <v>31</v>
      </c>
      <c r="I202" s="108">
        <v>30.5</v>
      </c>
      <c r="J202" s="88" t="s">
        <v>125</v>
      </c>
      <c r="K202" s="96" t="s">
        <v>620</v>
      </c>
      <c r="L202" s="38" t="s">
        <v>34</v>
      </c>
      <c r="M202" s="90" t="s">
        <v>1</v>
      </c>
      <c r="N202" s="84">
        <v>165.87</v>
      </c>
      <c r="O202" s="84">
        <v>165.87</v>
      </c>
      <c r="P202" s="84">
        <v>209.51999999999998</v>
      </c>
      <c r="Q202" s="84">
        <v>174.6</v>
      </c>
      <c r="R202" s="84">
        <v>165.87</v>
      </c>
      <c r="S202" s="84">
        <v>200.79</v>
      </c>
      <c r="T202" s="84">
        <v>174.6</v>
      </c>
      <c r="U202" s="84">
        <v>218.25</v>
      </c>
      <c r="V202" s="84">
        <v>165.87</v>
      </c>
      <c r="W202" s="84">
        <v>157.13999999999999</v>
      </c>
      <c r="X202" s="84">
        <v>218.25</v>
      </c>
      <c r="Y202" s="84">
        <v>165.87</v>
      </c>
      <c r="Z202" s="38"/>
      <c r="AA202" s="37">
        <f t="shared" ref="AA202:AA205" si="228">$I202*N202</f>
        <v>5059.0349999999999</v>
      </c>
      <c r="AB202" s="37">
        <f t="shared" ref="AB202:AB205" si="229">$I202*O202</f>
        <v>5059.0349999999999</v>
      </c>
      <c r="AC202" s="37">
        <f t="shared" ref="AC202:AC205" si="230">$I202*P202</f>
        <v>6390.36</v>
      </c>
      <c r="AD202" s="37">
        <f t="shared" ref="AD202:AD205" si="231">$I202*Q202</f>
        <v>5325.3</v>
      </c>
      <c r="AE202" s="37">
        <f t="shared" ref="AE202:AE205" si="232">$I202*R202</f>
        <v>5059.0349999999999</v>
      </c>
      <c r="AF202" s="37">
        <f t="shared" ref="AF202:AF205" si="233">$I202*S202</f>
        <v>6124.0949999999993</v>
      </c>
      <c r="AG202" s="37">
        <f t="shared" ref="AG202:AG205" si="234">$I202*T202</f>
        <v>5325.3</v>
      </c>
      <c r="AH202" s="37">
        <f t="shared" ref="AH202:AH205" si="235">$I202*U202</f>
        <v>6656.625</v>
      </c>
      <c r="AI202" s="37">
        <f t="shared" ref="AI202:AI205" si="236">$I202*V202</f>
        <v>5059.0349999999999</v>
      </c>
      <c r="AJ202" s="37">
        <f t="shared" ref="AJ202:AJ205" si="237">$I202*W202</f>
        <v>4792.7699999999995</v>
      </c>
      <c r="AK202" s="37">
        <f t="shared" ref="AK202:AK205" si="238">$I202*X202</f>
        <v>6656.625</v>
      </c>
      <c r="AL202" s="37">
        <f t="shared" ref="AL202:AL205" si="239">$I202*Y202</f>
        <v>5059.0349999999999</v>
      </c>
      <c r="AM202" s="120">
        <v>1</v>
      </c>
    </row>
    <row r="203" spans="1:39" s="91" customFormat="1" ht="15.6">
      <c r="A203" s="87" t="s">
        <v>92</v>
      </c>
      <c r="B203" s="83" t="s">
        <v>625</v>
      </c>
      <c r="C203" s="96" t="s">
        <v>631</v>
      </c>
      <c r="D203" s="96" t="s">
        <v>942</v>
      </c>
      <c r="E203" s="111" t="s">
        <v>630</v>
      </c>
      <c r="F203" s="83" t="s">
        <v>29</v>
      </c>
      <c r="G203" s="83" t="s">
        <v>39</v>
      </c>
      <c r="H203" s="89" t="s">
        <v>36</v>
      </c>
      <c r="I203" s="108">
        <v>29.5</v>
      </c>
      <c r="J203" s="88" t="s">
        <v>125</v>
      </c>
      <c r="K203" s="96" t="s">
        <v>620</v>
      </c>
      <c r="L203" s="38" t="s">
        <v>34</v>
      </c>
      <c r="M203" s="90" t="s">
        <v>1</v>
      </c>
      <c r="N203" s="84">
        <v>165.87</v>
      </c>
      <c r="O203" s="84">
        <v>165.87</v>
      </c>
      <c r="P203" s="84">
        <v>209.51999999999998</v>
      </c>
      <c r="Q203" s="84">
        <v>174.6</v>
      </c>
      <c r="R203" s="84">
        <v>165.87</v>
      </c>
      <c r="S203" s="84">
        <f>10*9</f>
        <v>90</v>
      </c>
      <c r="T203" s="84">
        <v>174.6</v>
      </c>
      <c r="U203" s="84">
        <v>218.25</v>
      </c>
      <c r="V203" s="84">
        <v>165.87</v>
      </c>
      <c r="W203" s="84">
        <v>157.13999999999999</v>
      </c>
      <c r="X203" s="84">
        <v>218.25</v>
      </c>
      <c r="Y203" s="84">
        <v>165.87</v>
      </c>
      <c r="Z203" s="38" t="s">
        <v>1157</v>
      </c>
      <c r="AA203" s="37">
        <f t="shared" si="228"/>
        <v>4893.165</v>
      </c>
      <c r="AB203" s="37">
        <f t="shared" si="229"/>
        <v>4893.165</v>
      </c>
      <c r="AC203" s="37">
        <f t="shared" si="230"/>
        <v>6180.8399999999992</v>
      </c>
      <c r="AD203" s="37">
        <f t="shared" si="231"/>
        <v>5150.7</v>
      </c>
      <c r="AE203" s="37">
        <f t="shared" si="232"/>
        <v>4893.165</v>
      </c>
      <c r="AF203" s="37">
        <f t="shared" si="233"/>
        <v>2655</v>
      </c>
      <c r="AG203" s="37">
        <f t="shared" si="234"/>
        <v>5150.7</v>
      </c>
      <c r="AH203" s="37">
        <f t="shared" si="235"/>
        <v>6438.375</v>
      </c>
      <c r="AI203" s="37">
        <f t="shared" si="236"/>
        <v>4893.165</v>
      </c>
      <c r="AJ203" s="37">
        <f t="shared" si="237"/>
        <v>4635.6299999999992</v>
      </c>
      <c r="AK203" s="37">
        <f t="shared" si="238"/>
        <v>6438.375</v>
      </c>
      <c r="AL203" s="37">
        <f t="shared" si="239"/>
        <v>4893.165</v>
      </c>
      <c r="AM203" s="120">
        <v>0</v>
      </c>
    </row>
    <row r="204" spans="1:39" s="91" customFormat="1" ht="15.6">
      <c r="A204" s="87" t="s">
        <v>92</v>
      </c>
      <c r="B204" s="83" t="s">
        <v>625</v>
      </c>
      <c r="C204" s="96" t="s">
        <v>1161</v>
      </c>
      <c r="D204" s="96" t="s">
        <v>1160</v>
      </c>
      <c r="E204" s="115" t="s">
        <v>1159</v>
      </c>
      <c r="F204" s="83" t="s">
        <v>29</v>
      </c>
      <c r="G204" s="89" t="s">
        <v>297</v>
      </c>
      <c r="H204" s="89" t="s">
        <v>31</v>
      </c>
      <c r="I204" s="108">
        <v>30.5</v>
      </c>
      <c r="J204" s="88" t="s">
        <v>125</v>
      </c>
      <c r="K204" s="96" t="s">
        <v>620</v>
      </c>
      <c r="L204" s="38" t="s">
        <v>34</v>
      </c>
      <c r="M204" s="90" t="s">
        <v>1</v>
      </c>
      <c r="N204" s="84"/>
      <c r="O204" s="84"/>
      <c r="P204" s="84"/>
      <c r="Q204" s="84"/>
      <c r="R204" s="84">
        <f>5*9</f>
        <v>45</v>
      </c>
      <c r="S204" s="84">
        <v>210</v>
      </c>
      <c r="T204" s="36">
        <v>174.6</v>
      </c>
      <c r="U204" s="36">
        <v>218.25</v>
      </c>
      <c r="V204" s="36">
        <v>165.87</v>
      </c>
      <c r="W204" s="36">
        <v>157.13999999999999</v>
      </c>
      <c r="X204" s="36">
        <v>209.51999999999998</v>
      </c>
      <c r="Y204" s="36">
        <v>165.87</v>
      </c>
      <c r="Z204" s="38" t="s">
        <v>1158</v>
      </c>
      <c r="AA204" s="37">
        <f t="shared" ref="AA204" si="240">$I204*N204</f>
        <v>0</v>
      </c>
      <c r="AB204" s="37">
        <f t="shared" ref="AB204" si="241">$I204*O204</f>
        <v>0</v>
      </c>
      <c r="AC204" s="37">
        <f t="shared" ref="AC204" si="242">$I204*P204</f>
        <v>0</v>
      </c>
      <c r="AD204" s="37">
        <f t="shared" ref="AD204" si="243">$I204*Q204</f>
        <v>0</v>
      </c>
      <c r="AE204" s="37">
        <f t="shared" ref="AE204" si="244">$I204*R204</f>
        <v>1372.5</v>
      </c>
      <c r="AF204" s="37">
        <f t="shared" ref="AF204" si="245">$I204*S204</f>
        <v>6405</v>
      </c>
      <c r="AG204" s="37">
        <f t="shared" ref="AG204" si="246">$I204*T204</f>
        <v>5325.3</v>
      </c>
      <c r="AH204" s="37">
        <f t="shared" ref="AH204" si="247">$I204*U204</f>
        <v>6656.625</v>
      </c>
      <c r="AI204" s="37">
        <f t="shared" ref="AI204" si="248">$I204*V204</f>
        <v>5059.0349999999999</v>
      </c>
      <c r="AJ204" s="37">
        <f t="shared" ref="AJ204" si="249">$I204*W204</f>
        <v>4792.7699999999995</v>
      </c>
      <c r="AK204" s="37">
        <f t="shared" ref="AK204" si="250">$I204*X204</f>
        <v>6390.36</v>
      </c>
      <c r="AL204" s="37">
        <f t="shared" ref="AL204" si="251">$I204*Y204</f>
        <v>5059.0349999999999</v>
      </c>
      <c r="AM204" s="93">
        <v>1</v>
      </c>
    </row>
    <row r="205" spans="1:39" s="91" customFormat="1" ht="15.6">
      <c r="A205" s="87" t="s">
        <v>92</v>
      </c>
      <c r="B205" s="83" t="s">
        <v>625</v>
      </c>
      <c r="C205" s="96" t="s">
        <v>316</v>
      </c>
      <c r="D205" s="96" t="s">
        <v>943</v>
      </c>
      <c r="E205" s="96" t="s">
        <v>317</v>
      </c>
      <c r="F205" s="83" t="s">
        <v>112</v>
      </c>
      <c r="G205" s="83" t="s">
        <v>229</v>
      </c>
      <c r="H205" s="89">
        <v>8</v>
      </c>
      <c r="I205" s="108">
        <v>134</v>
      </c>
      <c r="J205" s="88" t="s">
        <v>125</v>
      </c>
      <c r="K205" s="96" t="s">
        <v>313</v>
      </c>
      <c r="L205" s="88" t="s">
        <v>74</v>
      </c>
      <c r="M205" s="90" t="s">
        <v>3</v>
      </c>
      <c r="N205" s="84">
        <v>152</v>
      </c>
      <c r="O205" s="84">
        <v>152</v>
      </c>
      <c r="P205" s="84">
        <v>192</v>
      </c>
      <c r="Q205" s="84">
        <v>160</v>
      </c>
      <c r="R205" s="84">
        <v>152</v>
      </c>
      <c r="S205" s="84">
        <v>200</v>
      </c>
      <c r="T205" s="84">
        <v>152</v>
      </c>
      <c r="U205" s="84">
        <v>192</v>
      </c>
      <c r="V205" s="84">
        <v>152</v>
      </c>
      <c r="W205" s="84">
        <v>152</v>
      </c>
      <c r="X205" s="84">
        <v>192</v>
      </c>
      <c r="Y205" s="84">
        <v>152</v>
      </c>
      <c r="Z205" s="38"/>
      <c r="AA205" s="37">
        <f t="shared" si="228"/>
        <v>20368</v>
      </c>
      <c r="AB205" s="37">
        <f t="shared" si="229"/>
        <v>20368</v>
      </c>
      <c r="AC205" s="37">
        <f t="shared" si="230"/>
        <v>25728</v>
      </c>
      <c r="AD205" s="37">
        <f t="shared" si="231"/>
        <v>21440</v>
      </c>
      <c r="AE205" s="37">
        <f t="shared" si="232"/>
        <v>20368</v>
      </c>
      <c r="AF205" s="37">
        <f t="shared" si="233"/>
        <v>26800</v>
      </c>
      <c r="AG205" s="37">
        <f t="shared" si="234"/>
        <v>20368</v>
      </c>
      <c r="AH205" s="37">
        <f t="shared" si="235"/>
        <v>25728</v>
      </c>
      <c r="AI205" s="37">
        <f t="shared" si="236"/>
        <v>20368</v>
      </c>
      <c r="AJ205" s="37">
        <f t="shared" si="237"/>
        <v>20368</v>
      </c>
      <c r="AK205" s="37">
        <f t="shared" si="238"/>
        <v>25728</v>
      </c>
      <c r="AL205" s="37">
        <f t="shared" si="239"/>
        <v>20368</v>
      </c>
      <c r="AM205" s="93">
        <v>1</v>
      </c>
    </row>
    <row r="206" spans="1:39" s="46" customFormat="1" ht="15.6">
      <c r="A206" s="39" t="s">
        <v>92</v>
      </c>
      <c r="B206" s="40" t="s">
        <v>625</v>
      </c>
      <c r="C206" s="41" t="s">
        <v>4</v>
      </c>
      <c r="D206" s="41" t="s">
        <v>4</v>
      </c>
      <c r="E206" s="41" t="s">
        <v>4</v>
      </c>
      <c r="F206" s="40" t="s">
        <v>4</v>
      </c>
      <c r="G206" s="40" t="s">
        <v>4</v>
      </c>
      <c r="H206" s="42"/>
      <c r="I206" s="108"/>
      <c r="J206" s="41" t="s">
        <v>4</v>
      </c>
      <c r="K206" s="41" t="s">
        <v>4</v>
      </c>
      <c r="L206" s="41" t="s">
        <v>4</v>
      </c>
      <c r="M206" s="41" t="s">
        <v>4</v>
      </c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79"/>
      <c r="AA206" s="44">
        <f t="shared" ref="AA206:AL206" si="252">((SUMIFS(AA1:AA391, $B$1:$B$391,"RAS04", $F$1:$F$391,"India")*0.15)+SUMIFS(AA1:AA391, $B$1:$B$391,"RAS04", $F$1:$F$391,"PH")*0.15)</f>
        <v>1492.8300000000002</v>
      </c>
      <c r="AB206" s="44">
        <f t="shared" si="252"/>
        <v>1492.8300000000002</v>
      </c>
      <c r="AC206" s="44">
        <f t="shared" si="252"/>
        <v>1885.6799999999998</v>
      </c>
      <c r="AD206" s="44">
        <f t="shared" si="252"/>
        <v>1571.3999999999999</v>
      </c>
      <c r="AE206" s="44">
        <f t="shared" si="252"/>
        <v>1698.7050000000002</v>
      </c>
      <c r="AF206" s="44">
        <f t="shared" si="252"/>
        <v>2277.6142499999996</v>
      </c>
      <c r="AG206" s="44">
        <f t="shared" si="252"/>
        <v>2370.1949999999997</v>
      </c>
      <c r="AH206" s="44">
        <f t="shared" si="252"/>
        <v>2962.7437500000001</v>
      </c>
      <c r="AI206" s="44">
        <f t="shared" si="252"/>
        <v>2251.68525</v>
      </c>
      <c r="AJ206" s="44">
        <f t="shared" si="252"/>
        <v>2133.1754999999998</v>
      </c>
      <c r="AK206" s="44">
        <f t="shared" si="252"/>
        <v>2922.8040000000001</v>
      </c>
      <c r="AL206" s="44">
        <f t="shared" si="252"/>
        <v>2251.68525</v>
      </c>
      <c r="AM206" s="45"/>
    </row>
    <row r="207" spans="1:39" s="46" customFormat="1" ht="15.6">
      <c r="A207" s="39" t="s">
        <v>92</v>
      </c>
      <c r="B207" s="40" t="s">
        <v>625</v>
      </c>
      <c r="C207" s="41" t="s">
        <v>5</v>
      </c>
      <c r="D207" s="41" t="s">
        <v>5</v>
      </c>
      <c r="E207" s="41" t="s">
        <v>5</v>
      </c>
      <c r="F207" s="40" t="s">
        <v>5</v>
      </c>
      <c r="G207" s="40" t="s">
        <v>5</v>
      </c>
      <c r="H207" s="42"/>
      <c r="I207" s="108"/>
      <c r="J207" s="41" t="s">
        <v>5</v>
      </c>
      <c r="K207" s="41" t="s">
        <v>5</v>
      </c>
      <c r="L207" s="41" t="s">
        <v>5</v>
      </c>
      <c r="M207" s="41" t="s">
        <v>5</v>
      </c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79"/>
      <c r="AA207" s="44">
        <v>1000</v>
      </c>
      <c r="AB207" s="44">
        <v>1000</v>
      </c>
      <c r="AC207" s="44">
        <v>1200</v>
      </c>
      <c r="AD207" s="44">
        <v>1000</v>
      </c>
      <c r="AE207" s="44">
        <v>1000</v>
      </c>
      <c r="AF207" s="44">
        <v>1200</v>
      </c>
      <c r="AG207" s="44">
        <v>1000</v>
      </c>
      <c r="AH207" s="44">
        <v>1200</v>
      </c>
      <c r="AI207" s="44">
        <v>1000</v>
      </c>
      <c r="AJ207" s="44">
        <v>1000</v>
      </c>
      <c r="AK207" s="44">
        <v>1200</v>
      </c>
      <c r="AL207" s="44">
        <v>1000</v>
      </c>
      <c r="AM207" s="45"/>
    </row>
    <row r="208" spans="1:39" s="46" customFormat="1" ht="15.6">
      <c r="A208" s="39" t="s">
        <v>92</v>
      </c>
      <c r="B208" s="40" t="s">
        <v>625</v>
      </c>
      <c r="C208" s="41" t="s">
        <v>6</v>
      </c>
      <c r="D208" s="41" t="s">
        <v>6</v>
      </c>
      <c r="E208" s="41" t="s">
        <v>6</v>
      </c>
      <c r="F208" s="40" t="s">
        <v>6</v>
      </c>
      <c r="G208" s="40" t="s">
        <v>6</v>
      </c>
      <c r="H208" s="42"/>
      <c r="I208" s="108"/>
      <c r="J208" s="41" t="s">
        <v>6</v>
      </c>
      <c r="K208" s="41" t="s">
        <v>6</v>
      </c>
      <c r="L208" s="41" t="s">
        <v>6</v>
      </c>
      <c r="M208" s="41" t="s">
        <v>6</v>
      </c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79"/>
      <c r="AA208" s="44">
        <f>(54*2*4*0.6)</f>
        <v>259.2</v>
      </c>
      <c r="AB208" s="44">
        <f>(54*2*4*0.6)</f>
        <v>259.2</v>
      </c>
      <c r="AC208" s="44">
        <f>(54*2*5*0.6)</f>
        <v>324</v>
      </c>
      <c r="AD208" s="44">
        <f>(54*2*4*0.6)</f>
        <v>259.2</v>
      </c>
      <c r="AE208" s="44">
        <f>(54*2*4*0.6)</f>
        <v>259.2</v>
      </c>
      <c r="AF208" s="44">
        <f>(54*2*5*0.6)</f>
        <v>324</v>
      </c>
      <c r="AG208" s="44">
        <f>(54*2*4*0.6)</f>
        <v>259.2</v>
      </c>
      <c r="AH208" s="44">
        <f>(54*2*5*0.6)</f>
        <v>324</v>
      </c>
      <c r="AI208" s="44">
        <f>(54*2*4*0.6)</f>
        <v>259.2</v>
      </c>
      <c r="AJ208" s="44">
        <f>(54*2*4*0.6)</f>
        <v>259.2</v>
      </c>
      <c r="AK208" s="44">
        <f>(54*2*5*0.6)</f>
        <v>324</v>
      </c>
      <c r="AL208" s="44">
        <f>(54*2*4*0.6)</f>
        <v>259.2</v>
      </c>
      <c r="AM208" s="45"/>
    </row>
    <row r="209" spans="1:39" s="91" customFormat="1" ht="15.6">
      <c r="A209" s="87" t="s">
        <v>92</v>
      </c>
      <c r="B209" s="83" t="s">
        <v>318</v>
      </c>
      <c r="C209" s="96" t="s">
        <v>319</v>
      </c>
      <c r="D209" s="96" t="s">
        <v>944</v>
      </c>
      <c r="E209" s="96" t="s">
        <v>320</v>
      </c>
      <c r="F209" s="83" t="s">
        <v>29</v>
      </c>
      <c r="G209" s="83" t="s">
        <v>30</v>
      </c>
      <c r="H209" s="89" t="s">
        <v>31</v>
      </c>
      <c r="I209" s="108">
        <v>30.5</v>
      </c>
      <c r="J209" s="88" t="s">
        <v>125</v>
      </c>
      <c r="K209" s="96" t="s">
        <v>321</v>
      </c>
      <c r="L209" s="38" t="s">
        <v>34</v>
      </c>
      <c r="M209" s="90" t="s">
        <v>1</v>
      </c>
      <c r="N209" s="84">
        <v>165.87</v>
      </c>
      <c r="O209" s="84">
        <v>165.87</v>
      </c>
      <c r="P209" s="84">
        <v>209.51999999999998</v>
      </c>
      <c r="Q209" s="84">
        <v>165.87</v>
      </c>
      <c r="R209" s="84">
        <v>165.87</v>
      </c>
      <c r="S209" s="84">
        <v>209.51999999999998</v>
      </c>
      <c r="T209" s="84">
        <v>174.6</v>
      </c>
      <c r="U209" s="84">
        <v>218.25</v>
      </c>
      <c r="V209" s="84">
        <v>165.87</v>
      </c>
      <c r="W209" s="84">
        <v>157.13999999999999</v>
      </c>
      <c r="X209" s="84">
        <v>218.25</v>
      </c>
      <c r="Y209" s="84">
        <v>165.87</v>
      </c>
      <c r="Z209" s="38"/>
      <c r="AA209" s="37">
        <f t="shared" ref="AA209:AA212" si="253">$I209*N209</f>
        <v>5059.0349999999999</v>
      </c>
      <c r="AB209" s="37">
        <f t="shared" ref="AB209:AB212" si="254">$I209*O209</f>
        <v>5059.0349999999999</v>
      </c>
      <c r="AC209" s="37">
        <f t="shared" ref="AC209:AC212" si="255">$I209*P209</f>
        <v>6390.36</v>
      </c>
      <c r="AD209" s="37">
        <f t="shared" ref="AD209:AD212" si="256">$I209*Q209</f>
        <v>5059.0349999999999</v>
      </c>
      <c r="AE209" s="37">
        <f t="shared" ref="AE209:AE212" si="257">$I209*R209</f>
        <v>5059.0349999999999</v>
      </c>
      <c r="AF209" s="37">
        <f t="shared" ref="AF209:AF212" si="258">$I209*S209</f>
        <v>6390.36</v>
      </c>
      <c r="AG209" s="37">
        <f t="shared" ref="AG209:AG212" si="259">$I209*T209</f>
        <v>5325.3</v>
      </c>
      <c r="AH209" s="37">
        <f t="shared" ref="AH209:AH212" si="260">$I209*U209</f>
        <v>6656.625</v>
      </c>
      <c r="AI209" s="37">
        <f t="shared" ref="AI209:AI212" si="261">$I209*V209</f>
        <v>5059.0349999999999</v>
      </c>
      <c r="AJ209" s="37">
        <f t="shared" ref="AJ209:AJ212" si="262">$I209*W209</f>
        <v>4792.7699999999995</v>
      </c>
      <c r="AK209" s="37">
        <f t="shared" ref="AK209:AK212" si="263">$I209*X209</f>
        <v>6656.625</v>
      </c>
      <c r="AL209" s="37">
        <f t="shared" ref="AL209:AL212" si="264">$I209*Y209</f>
        <v>5059.0349999999999</v>
      </c>
      <c r="AM209" s="93">
        <v>1</v>
      </c>
    </row>
    <row r="210" spans="1:39" s="91" customFormat="1" ht="15.6">
      <c r="A210" s="87" t="s">
        <v>92</v>
      </c>
      <c r="B210" s="83" t="s">
        <v>318</v>
      </c>
      <c r="C210" s="96" t="s">
        <v>322</v>
      </c>
      <c r="D210" s="96" t="s">
        <v>945</v>
      </c>
      <c r="E210" s="96" t="s">
        <v>323</v>
      </c>
      <c r="F210" s="83" t="s">
        <v>29</v>
      </c>
      <c r="G210" s="83" t="s">
        <v>30</v>
      </c>
      <c r="H210" s="89" t="s">
        <v>36</v>
      </c>
      <c r="I210" s="108">
        <v>24.5</v>
      </c>
      <c r="J210" s="88" t="s">
        <v>125</v>
      </c>
      <c r="K210" s="96" t="s">
        <v>321</v>
      </c>
      <c r="L210" s="38" t="s">
        <v>34</v>
      </c>
      <c r="M210" s="90" t="s">
        <v>1</v>
      </c>
      <c r="N210" s="84">
        <v>165.87</v>
      </c>
      <c r="O210" s="84">
        <v>165.87</v>
      </c>
      <c r="P210" s="84">
        <v>209.51999999999998</v>
      </c>
      <c r="Q210" s="84">
        <v>165.87</v>
      </c>
      <c r="R210" s="84">
        <v>165.87</v>
      </c>
      <c r="S210" s="84">
        <v>209.51999999999998</v>
      </c>
      <c r="T210" s="84">
        <v>174.6</v>
      </c>
      <c r="U210" s="84">
        <v>218.25</v>
      </c>
      <c r="V210" s="84">
        <v>165.87</v>
      </c>
      <c r="W210" s="84">
        <v>157.13999999999999</v>
      </c>
      <c r="X210" s="84">
        <v>218.25</v>
      </c>
      <c r="Y210" s="84">
        <v>165.87</v>
      </c>
      <c r="Z210" s="38"/>
      <c r="AA210" s="37">
        <f t="shared" si="253"/>
        <v>4063.8150000000001</v>
      </c>
      <c r="AB210" s="37">
        <f t="shared" si="254"/>
        <v>4063.8150000000001</v>
      </c>
      <c r="AC210" s="37">
        <f t="shared" si="255"/>
        <v>5133.24</v>
      </c>
      <c r="AD210" s="37">
        <f t="shared" si="256"/>
        <v>4063.8150000000001</v>
      </c>
      <c r="AE210" s="37">
        <f t="shared" si="257"/>
        <v>4063.8150000000001</v>
      </c>
      <c r="AF210" s="37">
        <f t="shared" si="258"/>
        <v>5133.24</v>
      </c>
      <c r="AG210" s="37">
        <f t="shared" si="259"/>
        <v>4277.7</v>
      </c>
      <c r="AH210" s="37">
        <f t="shared" si="260"/>
        <v>5347.125</v>
      </c>
      <c r="AI210" s="37">
        <f t="shared" si="261"/>
        <v>4063.8150000000001</v>
      </c>
      <c r="AJ210" s="37">
        <f t="shared" si="262"/>
        <v>3849.93</v>
      </c>
      <c r="AK210" s="37">
        <f t="shared" si="263"/>
        <v>5347.125</v>
      </c>
      <c r="AL210" s="37">
        <f t="shared" si="264"/>
        <v>4063.8150000000001</v>
      </c>
      <c r="AM210" s="93">
        <v>1</v>
      </c>
    </row>
    <row r="211" spans="1:39" s="91" customFormat="1" ht="15.6">
      <c r="A211" s="87" t="s">
        <v>92</v>
      </c>
      <c r="B211" s="83" t="s">
        <v>318</v>
      </c>
      <c r="C211" s="96" t="s">
        <v>471</v>
      </c>
      <c r="D211" s="96" t="s">
        <v>946</v>
      </c>
      <c r="E211" s="96" t="s">
        <v>468</v>
      </c>
      <c r="F211" s="83" t="s">
        <v>112</v>
      </c>
      <c r="G211" s="83" t="s">
        <v>73</v>
      </c>
      <c r="H211" s="89">
        <v>6</v>
      </c>
      <c r="I211" s="108">
        <v>136</v>
      </c>
      <c r="J211" s="88" t="s">
        <v>125</v>
      </c>
      <c r="K211" s="96" t="s">
        <v>321</v>
      </c>
      <c r="L211" s="38" t="s">
        <v>74</v>
      </c>
      <c r="M211" s="90" t="s">
        <v>2</v>
      </c>
      <c r="N211" s="84">
        <v>152</v>
      </c>
      <c r="O211" s="84">
        <v>152</v>
      </c>
      <c r="P211" s="84">
        <v>192</v>
      </c>
      <c r="Q211" s="84">
        <v>160</v>
      </c>
      <c r="R211" s="84">
        <v>152</v>
      </c>
      <c r="S211" s="84">
        <v>200</v>
      </c>
      <c r="T211" s="84">
        <v>152</v>
      </c>
      <c r="U211" s="84">
        <v>192</v>
      </c>
      <c r="V211" s="84">
        <v>152</v>
      </c>
      <c r="W211" s="84">
        <v>152</v>
      </c>
      <c r="X211" s="84">
        <v>192</v>
      </c>
      <c r="Y211" s="84">
        <v>152</v>
      </c>
      <c r="Z211" s="38"/>
      <c r="AA211" s="37">
        <f t="shared" si="253"/>
        <v>20672</v>
      </c>
      <c r="AB211" s="37">
        <f t="shared" si="254"/>
        <v>20672</v>
      </c>
      <c r="AC211" s="37">
        <f t="shared" si="255"/>
        <v>26112</v>
      </c>
      <c r="AD211" s="37">
        <f t="shared" si="256"/>
        <v>21760</v>
      </c>
      <c r="AE211" s="37">
        <f t="shared" si="257"/>
        <v>20672</v>
      </c>
      <c r="AF211" s="37">
        <f t="shared" si="258"/>
        <v>27200</v>
      </c>
      <c r="AG211" s="37">
        <f t="shared" si="259"/>
        <v>20672</v>
      </c>
      <c r="AH211" s="37">
        <f t="shared" si="260"/>
        <v>26112</v>
      </c>
      <c r="AI211" s="37">
        <f t="shared" si="261"/>
        <v>20672</v>
      </c>
      <c r="AJ211" s="37">
        <f t="shared" si="262"/>
        <v>20672</v>
      </c>
      <c r="AK211" s="37">
        <f t="shared" si="263"/>
        <v>26112</v>
      </c>
      <c r="AL211" s="37">
        <f t="shared" si="264"/>
        <v>20672</v>
      </c>
      <c r="AM211" s="93">
        <v>1</v>
      </c>
    </row>
    <row r="212" spans="1:39" s="91" customFormat="1" ht="15.6">
      <c r="A212" s="87" t="s">
        <v>92</v>
      </c>
      <c r="B212" s="83" t="s">
        <v>318</v>
      </c>
      <c r="C212" s="96" t="s">
        <v>470</v>
      </c>
      <c r="D212" s="96" t="s">
        <v>947</v>
      </c>
      <c r="E212" s="96" t="s">
        <v>469</v>
      </c>
      <c r="F212" s="83" t="s">
        <v>112</v>
      </c>
      <c r="G212" s="83" t="s">
        <v>73</v>
      </c>
      <c r="H212" s="89">
        <v>8</v>
      </c>
      <c r="I212" s="108">
        <v>106</v>
      </c>
      <c r="J212" s="88" t="s">
        <v>125</v>
      </c>
      <c r="K212" s="96" t="s">
        <v>321</v>
      </c>
      <c r="L212" s="88" t="s">
        <v>74</v>
      </c>
      <c r="M212" s="90" t="s">
        <v>3</v>
      </c>
      <c r="N212" s="84">
        <v>152</v>
      </c>
      <c r="O212" s="84">
        <v>152</v>
      </c>
      <c r="P212" s="84">
        <v>192</v>
      </c>
      <c r="Q212" s="84">
        <v>160</v>
      </c>
      <c r="R212" s="84">
        <v>152</v>
      </c>
      <c r="S212" s="84">
        <v>200</v>
      </c>
      <c r="T212" s="84">
        <v>152</v>
      </c>
      <c r="U212" s="84">
        <v>192</v>
      </c>
      <c r="V212" s="84">
        <v>152</v>
      </c>
      <c r="W212" s="84">
        <v>152</v>
      </c>
      <c r="X212" s="84">
        <v>192</v>
      </c>
      <c r="Y212" s="84">
        <v>152</v>
      </c>
      <c r="Z212" s="38"/>
      <c r="AA212" s="37">
        <f t="shared" si="253"/>
        <v>16112</v>
      </c>
      <c r="AB212" s="37">
        <f t="shared" si="254"/>
        <v>16112</v>
      </c>
      <c r="AC212" s="37">
        <f t="shared" si="255"/>
        <v>20352</v>
      </c>
      <c r="AD212" s="37">
        <f t="shared" si="256"/>
        <v>16960</v>
      </c>
      <c r="AE212" s="37">
        <f t="shared" si="257"/>
        <v>16112</v>
      </c>
      <c r="AF212" s="37">
        <f t="shared" si="258"/>
        <v>21200</v>
      </c>
      <c r="AG212" s="37">
        <f t="shared" si="259"/>
        <v>16112</v>
      </c>
      <c r="AH212" s="37">
        <f t="shared" si="260"/>
        <v>20352</v>
      </c>
      <c r="AI212" s="37">
        <f t="shared" si="261"/>
        <v>16112</v>
      </c>
      <c r="AJ212" s="37">
        <f t="shared" si="262"/>
        <v>16112</v>
      </c>
      <c r="AK212" s="37">
        <f t="shared" si="263"/>
        <v>20352</v>
      </c>
      <c r="AL212" s="37">
        <f t="shared" si="264"/>
        <v>16112</v>
      </c>
      <c r="AM212" s="93">
        <v>1</v>
      </c>
    </row>
    <row r="213" spans="1:39" s="46" customFormat="1" ht="15.6">
      <c r="A213" s="39" t="s">
        <v>92</v>
      </c>
      <c r="B213" s="40" t="s">
        <v>318</v>
      </c>
      <c r="C213" s="41" t="s">
        <v>4</v>
      </c>
      <c r="D213" s="41" t="s">
        <v>4</v>
      </c>
      <c r="E213" s="41" t="s">
        <v>4</v>
      </c>
      <c r="F213" s="40" t="s">
        <v>4</v>
      </c>
      <c r="G213" s="40" t="s">
        <v>4</v>
      </c>
      <c r="H213" s="42"/>
      <c r="I213" s="108"/>
      <c r="J213" s="41" t="s">
        <v>4</v>
      </c>
      <c r="K213" s="41" t="s">
        <v>4</v>
      </c>
      <c r="L213" s="41" t="s">
        <v>4</v>
      </c>
      <c r="M213" s="41" t="s">
        <v>4</v>
      </c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79"/>
      <c r="AA213" s="44">
        <f t="shared" ref="AA213:AL213" si="265">((SUMIFS(AA1:AA391, $B$1:$B$391,"RAQ3P", $F$1:$F$391,"India")*0.15)+SUMIFS(AA1:AA391, $B$1:$B$391,"RAQ3P", $F$1:$F$391,"PH")*0.15)</f>
        <v>1368.4275</v>
      </c>
      <c r="AB213" s="44">
        <f t="shared" si="265"/>
        <v>1368.4275</v>
      </c>
      <c r="AC213" s="44">
        <f t="shared" si="265"/>
        <v>1728.5399999999997</v>
      </c>
      <c r="AD213" s="44">
        <f t="shared" si="265"/>
        <v>1368.4275</v>
      </c>
      <c r="AE213" s="44">
        <f t="shared" si="265"/>
        <v>1368.4275</v>
      </c>
      <c r="AF213" s="44">
        <f t="shared" si="265"/>
        <v>1728.5399999999997</v>
      </c>
      <c r="AG213" s="44">
        <f t="shared" si="265"/>
        <v>1440.45</v>
      </c>
      <c r="AH213" s="44">
        <f t="shared" si="265"/>
        <v>1800.5625</v>
      </c>
      <c r="AI213" s="44">
        <f t="shared" si="265"/>
        <v>1368.4275</v>
      </c>
      <c r="AJ213" s="44">
        <f t="shared" si="265"/>
        <v>1296.4049999999997</v>
      </c>
      <c r="AK213" s="44">
        <f t="shared" si="265"/>
        <v>1800.5625</v>
      </c>
      <c r="AL213" s="44">
        <f t="shared" si="265"/>
        <v>1368.4275</v>
      </c>
      <c r="AM213" s="45"/>
    </row>
    <row r="214" spans="1:39" s="46" customFormat="1" ht="15.6">
      <c r="A214" s="39" t="s">
        <v>92</v>
      </c>
      <c r="B214" s="40" t="s">
        <v>318</v>
      </c>
      <c r="C214" s="41" t="s">
        <v>5</v>
      </c>
      <c r="D214" s="41" t="s">
        <v>5</v>
      </c>
      <c r="E214" s="41" t="s">
        <v>5</v>
      </c>
      <c r="F214" s="40" t="s">
        <v>5</v>
      </c>
      <c r="G214" s="40" t="s">
        <v>5</v>
      </c>
      <c r="H214" s="42"/>
      <c r="I214" s="108"/>
      <c r="J214" s="41" t="s">
        <v>5</v>
      </c>
      <c r="K214" s="41" t="s">
        <v>5</v>
      </c>
      <c r="L214" s="41" t="s">
        <v>5</v>
      </c>
      <c r="M214" s="41" t="s">
        <v>5</v>
      </c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79"/>
      <c r="AA214" s="44">
        <v>1000</v>
      </c>
      <c r="AB214" s="44">
        <v>1000</v>
      </c>
      <c r="AC214" s="44">
        <v>1200</v>
      </c>
      <c r="AD214" s="44">
        <v>1000</v>
      </c>
      <c r="AE214" s="44">
        <v>1000</v>
      </c>
      <c r="AF214" s="44">
        <v>1200</v>
      </c>
      <c r="AG214" s="44">
        <v>1000</v>
      </c>
      <c r="AH214" s="44">
        <v>1200</v>
      </c>
      <c r="AI214" s="44">
        <v>1000</v>
      </c>
      <c r="AJ214" s="44">
        <v>1000</v>
      </c>
      <c r="AK214" s="44">
        <v>1200</v>
      </c>
      <c r="AL214" s="44">
        <v>1000</v>
      </c>
      <c r="AM214" s="45"/>
    </row>
    <row r="215" spans="1:39" s="46" customFormat="1" ht="15.6">
      <c r="A215" s="39" t="s">
        <v>92</v>
      </c>
      <c r="B215" s="40" t="s">
        <v>318</v>
      </c>
      <c r="C215" s="41" t="s">
        <v>6</v>
      </c>
      <c r="D215" s="41" t="s">
        <v>6</v>
      </c>
      <c r="E215" s="41" t="s">
        <v>6</v>
      </c>
      <c r="F215" s="40" t="s">
        <v>6</v>
      </c>
      <c r="G215" s="40" t="s">
        <v>6</v>
      </c>
      <c r="H215" s="42"/>
      <c r="I215" s="108"/>
      <c r="J215" s="41" t="s">
        <v>6</v>
      </c>
      <c r="K215" s="41" t="s">
        <v>6</v>
      </c>
      <c r="L215" s="41" t="s">
        <v>6</v>
      </c>
      <c r="M215" s="41" t="s">
        <v>6</v>
      </c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79"/>
      <c r="AA215" s="44">
        <f>(54*2*4*0.6)</f>
        <v>259.2</v>
      </c>
      <c r="AB215" s="44">
        <f>(54*2*4*0.6)</f>
        <v>259.2</v>
      </c>
      <c r="AC215" s="44">
        <f>(54*2*5*0.6)</f>
        <v>324</v>
      </c>
      <c r="AD215" s="44">
        <f>(54*2*4*0.6)</f>
        <v>259.2</v>
      </c>
      <c r="AE215" s="44">
        <f>(54*2*4*0.6)</f>
        <v>259.2</v>
      </c>
      <c r="AF215" s="44">
        <f>(54*2*5*0.6)</f>
        <v>324</v>
      </c>
      <c r="AG215" s="44">
        <f>(54*2*4*0.6)</f>
        <v>259.2</v>
      </c>
      <c r="AH215" s="44">
        <f>(54*2*5*0.6)</f>
        <v>324</v>
      </c>
      <c r="AI215" s="44">
        <f>(54*2*4*0.6)</f>
        <v>259.2</v>
      </c>
      <c r="AJ215" s="44">
        <f>(54*2*4*0.6)</f>
        <v>259.2</v>
      </c>
      <c r="AK215" s="44">
        <f>(54*2*5*0.6)</f>
        <v>324</v>
      </c>
      <c r="AL215" s="44">
        <f>(54*2*4*0.6)</f>
        <v>259.2</v>
      </c>
      <c r="AM215" s="45"/>
    </row>
    <row r="216" spans="1:39" s="91" customFormat="1" ht="15.6">
      <c r="A216" s="87" t="s">
        <v>92</v>
      </c>
      <c r="B216" s="83" t="s">
        <v>324</v>
      </c>
      <c r="C216" s="96" t="s">
        <v>331</v>
      </c>
      <c r="D216" s="96" t="s">
        <v>948</v>
      </c>
      <c r="E216" s="96" t="s">
        <v>332</v>
      </c>
      <c r="F216" s="83" t="s">
        <v>29</v>
      </c>
      <c r="G216" s="83" t="s">
        <v>30</v>
      </c>
      <c r="H216" s="89" t="s">
        <v>31</v>
      </c>
      <c r="I216" s="108">
        <v>30.5</v>
      </c>
      <c r="J216" s="88" t="s">
        <v>125</v>
      </c>
      <c r="K216" s="96" t="s">
        <v>328</v>
      </c>
      <c r="L216" s="38" t="s">
        <v>34</v>
      </c>
      <c r="M216" s="90" t="s">
        <v>1</v>
      </c>
      <c r="N216" s="84">
        <v>82.935000000000002</v>
      </c>
      <c r="O216" s="84">
        <v>82.935000000000002</v>
      </c>
      <c r="P216" s="84">
        <v>104.75999999999999</v>
      </c>
      <c r="Q216" s="84">
        <v>82.935000000000002</v>
      </c>
      <c r="R216" s="84">
        <v>82.935000000000002</v>
      </c>
      <c r="S216" s="84">
        <v>104.75999999999999</v>
      </c>
      <c r="T216" s="84">
        <v>87.3</v>
      </c>
      <c r="U216" s="84">
        <v>109.125</v>
      </c>
      <c r="V216" s="84">
        <v>82.935000000000002</v>
      </c>
      <c r="W216" s="84">
        <v>78.569999999999993</v>
      </c>
      <c r="X216" s="84">
        <v>109.125</v>
      </c>
      <c r="Y216" s="84">
        <v>82.935000000000002</v>
      </c>
      <c r="Z216" s="38"/>
      <c r="AA216" s="37">
        <f t="shared" ref="AA216:AA220" si="266">$I216*N216</f>
        <v>2529.5174999999999</v>
      </c>
      <c r="AB216" s="37">
        <f t="shared" ref="AB216:AB220" si="267">$I216*O216</f>
        <v>2529.5174999999999</v>
      </c>
      <c r="AC216" s="37">
        <f t="shared" ref="AC216:AC220" si="268">$I216*P216</f>
        <v>3195.18</v>
      </c>
      <c r="AD216" s="37">
        <f t="shared" ref="AD216:AD220" si="269">$I216*Q216</f>
        <v>2529.5174999999999</v>
      </c>
      <c r="AE216" s="37">
        <f t="shared" ref="AE216:AE220" si="270">$I216*R216</f>
        <v>2529.5174999999999</v>
      </c>
      <c r="AF216" s="37">
        <f t="shared" ref="AF216:AF220" si="271">$I216*S216</f>
        <v>3195.18</v>
      </c>
      <c r="AG216" s="37">
        <f t="shared" ref="AG216:AG220" si="272">$I216*T216</f>
        <v>2662.65</v>
      </c>
      <c r="AH216" s="37">
        <f t="shared" ref="AH216:AH220" si="273">$I216*U216</f>
        <v>3328.3125</v>
      </c>
      <c r="AI216" s="37">
        <f t="shared" ref="AI216:AI220" si="274">$I216*V216</f>
        <v>2529.5174999999999</v>
      </c>
      <c r="AJ216" s="37">
        <f t="shared" ref="AJ216:AJ220" si="275">$I216*W216</f>
        <v>2396.3849999999998</v>
      </c>
      <c r="AK216" s="37">
        <f t="shared" ref="AK216:AK220" si="276">$I216*X216</f>
        <v>3328.3125</v>
      </c>
      <c r="AL216" s="37">
        <f t="shared" ref="AL216:AL220" si="277">$I216*Y216</f>
        <v>2529.5174999999999</v>
      </c>
      <c r="AM216" s="93">
        <v>0.5</v>
      </c>
    </row>
    <row r="217" spans="1:39" s="91" customFormat="1" ht="15.6">
      <c r="A217" s="87" t="s">
        <v>92</v>
      </c>
      <c r="B217" s="83" t="s">
        <v>324</v>
      </c>
      <c r="C217" s="96" t="s">
        <v>585</v>
      </c>
      <c r="D217" s="96" t="s">
        <v>949</v>
      </c>
      <c r="E217" s="96" t="s">
        <v>584</v>
      </c>
      <c r="F217" s="83" t="s">
        <v>29</v>
      </c>
      <c r="G217" s="83" t="s">
        <v>380</v>
      </c>
      <c r="H217" s="89" t="s">
        <v>31</v>
      </c>
      <c r="I217" s="108">
        <v>30.5</v>
      </c>
      <c r="J217" s="88" t="s">
        <v>125</v>
      </c>
      <c r="K217" s="96" t="s">
        <v>328</v>
      </c>
      <c r="L217" s="38" t="s">
        <v>34</v>
      </c>
      <c r="M217" s="90" t="s">
        <v>1</v>
      </c>
      <c r="N217" s="84">
        <v>82.935000000000002</v>
      </c>
      <c r="O217" s="84">
        <v>82.935000000000002</v>
      </c>
      <c r="P217" s="84">
        <v>104.75999999999999</v>
      </c>
      <c r="Q217" s="84">
        <v>82.935000000000002</v>
      </c>
      <c r="R217" s="84">
        <v>82.935000000000002</v>
      </c>
      <c r="S217" s="84">
        <v>104.75999999999999</v>
      </c>
      <c r="T217" s="84">
        <v>87.3</v>
      </c>
      <c r="U217" s="84">
        <v>109.125</v>
      </c>
      <c r="V217" s="84">
        <v>82.935000000000002</v>
      </c>
      <c r="W217" s="84">
        <v>78.569999999999993</v>
      </c>
      <c r="X217" s="84">
        <v>109.125</v>
      </c>
      <c r="Y217" s="84">
        <v>82.935000000000002</v>
      </c>
      <c r="Z217" s="38"/>
      <c r="AA217" s="37">
        <f t="shared" si="266"/>
        <v>2529.5174999999999</v>
      </c>
      <c r="AB217" s="37">
        <f t="shared" si="267"/>
        <v>2529.5174999999999</v>
      </c>
      <c r="AC217" s="37">
        <f t="shared" si="268"/>
        <v>3195.18</v>
      </c>
      <c r="AD217" s="37">
        <f t="shared" si="269"/>
        <v>2529.5174999999999</v>
      </c>
      <c r="AE217" s="37">
        <f t="shared" si="270"/>
        <v>2529.5174999999999</v>
      </c>
      <c r="AF217" s="37">
        <f t="shared" si="271"/>
        <v>3195.18</v>
      </c>
      <c r="AG217" s="37">
        <f t="shared" si="272"/>
        <v>2662.65</v>
      </c>
      <c r="AH217" s="37">
        <f t="shared" si="273"/>
        <v>3328.3125</v>
      </c>
      <c r="AI217" s="37">
        <f t="shared" si="274"/>
        <v>2529.5174999999999</v>
      </c>
      <c r="AJ217" s="37">
        <f t="shared" si="275"/>
        <v>2396.3849999999998</v>
      </c>
      <c r="AK217" s="37">
        <f t="shared" si="276"/>
        <v>3328.3125</v>
      </c>
      <c r="AL217" s="37">
        <f t="shared" si="277"/>
        <v>2529.5174999999999</v>
      </c>
      <c r="AM217" s="93">
        <v>0.5</v>
      </c>
    </row>
    <row r="218" spans="1:39" s="91" customFormat="1" ht="15.6">
      <c r="A218" s="87" t="s">
        <v>92</v>
      </c>
      <c r="B218" s="83" t="s">
        <v>324</v>
      </c>
      <c r="C218" s="96" t="s">
        <v>329</v>
      </c>
      <c r="D218" s="96" t="s">
        <v>950</v>
      </c>
      <c r="E218" s="96" t="s">
        <v>330</v>
      </c>
      <c r="F218" s="83" t="s">
        <v>112</v>
      </c>
      <c r="G218" s="83" t="s">
        <v>327</v>
      </c>
      <c r="H218" s="89">
        <v>8</v>
      </c>
      <c r="I218" s="108">
        <v>126</v>
      </c>
      <c r="J218" s="88" t="s">
        <v>125</v>
      </c>
      <c r="K218" s="96" t="s">
        <v>328</v>
      </c>
      <c r="L218" s="88" t="s">
        <v>74</v>
      </c>
      <c r="M218" s="90" t="s">
        <v>3</v>
      </c>
      <c r="N218" s="84">
        <v>76</v>
      </c>
      <c r="O218" s="84">
        <v>76</v>
      </c>
      <c r="P218" s="84">
        <v>96</v>
      </c>
      <c r="Q218" s="84">
        <v>80</v>
      </c>
      <c r="R218" s="84">
        <v>76</v>
      </c>
      <c r="S218" s="84">
        <v>100</v>
      </c>
      <c r="T218" s="84">
        <v>76</v>
      </c>
      <c r="U218" s="84">
        <v>96</v>
      </c>
      <c r="V218" s="84">
        <v>76</v>
      </c>
      <c r="W218" s="84">
        <v>76</v>
      </c>
      <c r="X218" s="84">
        <v>96</v>
      </c>
      <c r="Y218" s="84">
        <v>76</v>
      </c>
      <c r="Z218" s="38"/>
      <c r="AA218" s="37">
        <f t="shared" si="266"/>
        <v>9576</v>
      </c>
      <c r="AB218" s="37">
        <f t="shared" si="267"/>
        <v>9576</v>
      </c>
      <c r="AC218" s="37">
        <f t="shared" si="268"/>
        <v>12096</v>
      </c>
      <c r="AD218" s="37">
        <f t="shared" si="269"/>
        <v>10080</v>
      </c>
      <c r="AE218" s="37">
        <f t="shared" si="270"/>
        <v>9576</v>
      </c>
      <c r="AF218" s="37">
        <f t="shared" si="271"/>
        <v>12600</v>
      </c>
      <c r="AG218" s="37">
        <f t="shared" si="272"/>
        <v>9576</v>
      </c>
      <c r="AH218" s="37">
        <f t="shared" si="273"/>
        <v>12096</v>
      </c>
      <c r="AI218" s="37">
        <f t="shared" si="274"/>
        <v>9576</v>
      </c>
      <c r="AJ218" s="37">
        <f t="shared" si="275"/>
        <v>9576</v>
      </c>
      <c r="AK218" s="37">
        <f t="shared" si="276"/>
        <v>12096</v>
      </c>
      <c r="AL218" s="37">
        <f t="shared" si="277"/>
        <v>9576</v>
      </c>
      <c r="AM218" s="93">
        <v>0.5</v>
      </c>
    </row>
    <row r="219" spans="1:39" s="91" customFormat="1" ht="15.6">
      <c r="A219" s="87" t="s">
        <v>92</v>
      </c>
      <c r="B219" s="83" t="s">
        <v>324</v>
      </c>
      <c r="C219" s="96" t="s">
        <v>325</v>
      </c>
      <c r="D219" s="96" t="s">
        <v>951</v>
      </c>
      <c r="E219" s="96" t="s">
        <v>326</v>
      </c>
      <c r="F219" s="83" t="s">
        <v>112</v>
      </c>
      <c r="G219" s="83" t="s">
        <v>327</v>
      </c>
      <c r="H219" s="89">
        <v>8</v>
      </c>
      <c r="I219" s="108">
        <v>185.5</v>
      </c>
      <c r="J219" s="88" t="s">
        <v>125</v>
      </c>
      <c r="K219" s="96" t="s">
        <v>328</v>
      </c>
      <c r="L219" s="38" t="s">
        <v>74</v>
      </c>
      <c r="M219" s="90" t="s">
        <v>2</v>
      </c>
      <c r="N219" s="84">
        <v>76</v>
      </c>
      <c r="O219" s="84">
        <v>76</v>
      </c>
      <c r="P219" s="84">
        <v>96</v>
      </c>
      <c r="Q219" s="84">
        <v>80</v>
      </c>
      <c r="R219" s="84">
        <v>76</v>
      </c>
      <c r="S219" s="84">
        <v>100</v>
      </c>
      <c r="T219" s="84">
        <v>76</v>
      </c>
      <c r="U219" s="84">
        <v>96</v>
      </c>
      <c r="V219" s="84">
        <v>76</v>
      </c>
      <c r="W219" s="84">
        <v>76</v>
      </c>
      <c r="X219" s="84">
        <v>96</v>
      </c>
      <c r="Y219" s="84">
        <v>76</v>
      </c>
      <c r="Z219" s="38"/>
      <c r="AA219" s="37">
        <f t="shared" si="266"/>
        <v>14098</v>
      </c>
      <c r="AB219" s="37">
        <f t="shared" si="267"/>
        <v>14098</v>
      </c>
      <c r="AC219" s="37">
        <f t="shared" si="268"/>
        <v>17808</v>
      </c>
      <c r="AD219" s="37">
        <f t="shared" si="269"/>
        <v>14840</v>
      </c>
      <c r="AE219" s="37">
        <f t="shared" si="270"/>
        <v>14098</v>
      </c>
      <c r="AF219" s="37">
        <f t="shared" si="271"/>
        <v>18550</v>
      </c>
      <c r="AG219" s="37">
        <f t="shared" si="272"/>
        <v>14098</v>
      </c>
      <c r="AH219" s="37">
        <f t="shared" si="273"/>
        <v>17808</v>
      </c>
      <c r="AI219" s="37">
        <f t="shared" si="274"/>
        <v>14098</v>
      </c>
      <c r="AJ219" s="37">
        <f t="shared" si="275"/>
        <v>14098</v>
      </c>
      <c r="AK219" s="37">
        <f t="shared" si="276"/>
        <v>17808</v>
      </c>
      <c r="AL219" s="37">
        <f t="shared" si="277"/>
        <v>14098</v>
      </c>
      <c r="AM219" s="93">
        <v>0.5</v>
      </c>
    </row>
    <row r="220" spans="1:39" s="91" customFormat="1" ht="15.6">
      <c r="A220" s="87" t="s">
        <v>92</v>
      </c>
      <c r="B220" s="83" t="s">
        <v>324</v>
      </c>
      <c r="C220" s="96" t="s">
        <v>333</v>
      </c>
      <c r="D220" s="96" t="s">
        <v>952</v>
      </c>
      <c r="E220" s="96" t="s">
        <v>334</v>
      </c>
      <c r="F220" s="83" t="s">
        <v>112</v>
      </c>
      <c r="G220" s="83" t="s">
        <v>229</v>
      </c>
      <c r="H220" s="89">
        <v>8</v>
      </c>
      <c r="I220" s="108">
        <v>132.5</v>
      </c>
      <c r="J220" s="88" t="s">
        <v>125</v>
      </c>
      <c r="K220" s="96" t="s">
        <v>328</v>
      </c>
      <c r="L220" s="38" t="s">
        <v>74</v>
      </c>
      <c r="M220" s="90" t="s">
        <v>2</v>
      </c>
      <c r="N220" s="84">
        <v>76</v>
      </c>
      <c r="O220" s="84">
        <v>76</v>
      </c>
      <c r="P220" s="84">
        <v>96</v>
      </c>
      <c r="Q220" s="84">
        <v>80</v>
      </c>
      <c r="R220" s="84">
        <v>76</v>
      </c>
      <c r="S220" s="84">
        <v>100</v>
      </c>
      <c r="T220" s="84">
        <v>76</v>
      </c>
      <c r="U220" s="84">
        <v>96</v>
      </c>
      <c r="V220" s="84">
        <v>76</v>
      </c>
      <c r="W220" s="84">
        <v>76</v>
      </c>
      <c r="X220" s="84">
        <v>96</v>
      </c>
      <c r="Y220" s="84">
        <v>76</v>
      </c>
      <c r="Z220" s="38"/>
      <c r="AA220" s="37">
        <f t="shared" si="266"/>
        <v>10070</v>
      </c>
      <c r="AB220" s="37">
        <f t="shared" si="267"/>
        <v>10070</v>
      </c>
      <c r="AC220" s="37">
        <f t="shared" si="268"/>
        <v>12720</v>
      </c>
      <c r="AD220" s="37">
        <f t="shared" si="269"/>
        <v>10600</v>
      </c>
      <c r="AE220" s="37">
        <f t="shared" si="270"/>
        <v>10070</v>
      </c>
      <c r="AF220" s="37">
        <f t="shared" si="271"/>
        <v>13250</v>
      </c>
      <c r="AG220" s="37">
        <f t="shared" si="272"/>
        <v>10070</v>
      </c>
      <c r="AH220" s="37">
        <f t="shared" si="273"/>
        <v>12720</v>
      </c>
      <c r="AI220" s="37">
        <f t="shared" si="274"/>
        <v>10070</v>
      </c>
      <c r="AJ220" s="37">
        <f t="shared" si="275"/>
        <v>10070</v>
      </c>
      <c r="AK220" s="37">
        <f t="shared" si="276"/>
        <v>12720</v>
      </c>
      <c r="AL220" s="37">
        <f t="shared" si="277"/>
        <v>10070</v>
      </c>
      <c r="AM220" s="93">
        <v>0.5</v>
      </c>
    </row>
    <row r="221" spans="1:39" s="46" customFormat="1" ht="15.6">
      <c r="A221" s="39" t="s">
        <v>92</v>
      </c>
      <c r="B221" s="40" t="s">
        <v>324</v>
      </c>
      <c r="C221" s="41" t="s">
        <v>4</v>
      </c>
      <c r="D221" s="41" t="s">
        <v>4</v>
      </c>
      <c r="E221" s="41" t="s">
        <v>4</v>
      </c>
      <c r="F221" s="40" t="s">
        <v>4</v>
      </c>
      <c r="G221" s="40" t="s">
        <v>4</v>
      </c>
      <c r="H221" s="42"/>
      <c r="I221" s="108"/>
      <c r="J221" s="41" t="s">
        <v>4</v>
      </c>
      <c r="K221" s="41" t="s">
        <v>4</v>
      </c>
      <c r="L221" s="41" t="s">
        <v>4</v>
      </c>
      <c r="M221" s="41" t="s">
        <v>4</v>
      </c>
      <c r="N221" s="43">
        <v>76</v>
      </c>
      <c r="O221" s="43">
        <v>76</v>
      </c>
      <c r="P221" s="43">
        <v>96</v>
      </c>
      <c r="Q221" s="43">
        <v>80</v>
      </c>
      <c r="R221" s="43">
        <v>76</v>
      </c>
      <c r="S221" s="43">
        <v>100</v>
      </c>
      <c r="T221" s="43">
        <v>76</v>
      </c>
      <c r="U221" s="43">
        <v>96</v>
      </c>
      <c r="V221" s="43">
        <v>76</v>
      </c>
      <c r="W221" s="43">
        <v>76</v>
      </c>
      <c r="X221" s="43">
        <v>96</v>
      </c>
      <c r="Y221" s="43">
        <v>76</v>
      </c>
      <c r="Z221" s="79"/>
      <c r="AA221" s="44">
        <f t="shared" ref="AA221:AL221" si="278">((SUMIFS(AA1:AA391, $B$1:$B$391,"RAQML", $F$1:$F$391,"India")*0.15)+SUMIFS(AA1:AA391, $B$1:$B$391,"RAQML", $F$1:$F$391,"PH")*0.15)</f>
        <v>758.85524999999996</v>
      </c>
      <c r="AB221" s="44">
        <f t="shared" si="278"/>
        <v>758.85524999999996</v>
      </c>
      <c r="AC221" s="44">
        <f t="shared" si="278"/>
        <v>958.55399999999986</v>
      </c>
      <c r="AD221" s="44">
        <f t="shared" si="278"/>
        <v>758.85524999999996</v>
      </c>
      <c r="AE221" s="44">
        <f t="shared" si="278"/>
        <v>758.85524999999996</v>
      </c>
      <c r="AF221" s="44">
        <f t="shared" si="278"/>
        <v>958.55399999999986</v>
      </c>
      <c r="AG221" s="44">
        <f t="shared" si="278"/>
        <v>798.79499999999996</v>
      </c>
      <c r="AH221" s="44">
        <f t="shared" si="278"/>
        <v>998.49374999999998</v>
      </c>
      <c r="AI221" s="44">
        <f t="shared" si="278"/>
        <v>758.85524999999996</v>
      </c>
      <c r="AJ221" s="44">
        <f t="shared" si="278"/>
        <v>718.91549999999995</v>
      </c>
      <c r="AK221" s="44">
        <f t="shared" si="278"/>
        <v>998.49374999999998</v>
      </c>
      <c r="AL221" s="44">
        <f t="shared" si="278"/>
        <v>758.85524999999996</v>
      </c>
      <c r="AM221" s="45"/>
    </row>
    <row r="222" spans="1:39" s="46" customFormat="1" ht="15.6">
      <c r="A222" s="39" t="s">
        <v>92</v>
      </c>
      <c r="B222" s="40" t="s">
        <v>324</v>
      </c>
      <c r="C222" s="41" t="s">
        <v>5</v>
      </c>
      <c r="D222" s="41" t="s">
        <v>5</v>
      </c>
      <c r="E222" s="41" t="s">
        <v>5</v>
      </c>
      <c r="F222" s="40" t="s">
        <v>5</v>
      </c>
      <c r="G222" s="40" t="s">
        <v>5</v>
      </c>
      <c r="H222" s="42"/>
      <c r="I222" s="108"/>
      <c r="J222" s="41" t="s">
        <v>5</v>
      </c>
      <c r="K222" s="41" t="s">
        <v>5</v>
      </c>
      <c r="L222" s="41" t="s">
        <v>5</v>
      </c>
      <c r="M222" s="41" t="s">
        <v>5</v>
      </c>
      <c r="N222" s="43">
        <v>76</v>
      </c>
      <c r="O222" s="43">
        <v>76</v>
      </c>
      <c r="P222" s="43">
        <v>96</v>
      </c>
      <c r="Q222" s="43">
        <v>80</v>
      </c>
      <c r="R222" s="43">
        <v>76</v>
      </c>
      <c r="S222" s="43">
        <v>100</v>
      </c>
      <c r="T222" s="43">
        <v>76</v>
      </c>
      <c r="U222" s="43">
        <v>96</v>
      </c>
      <c r="V222" s="43">
        <v>76</v>
      </c>
      <c r="W222" s="43">
        <v>76</v>
      </c>
      <c r="X222" s="43">
        <v>96</v>
      </c>
      <c r="Y222" s="43">
        <v>76</v>
      </c>
      <c r="Z222" s="79"/>
      <c r="AA222" s="44">
        <v>1000</v>
      </c>
      <c r="AB222" s="44">
        <v>1000</v>
      </c>
      <c r="AC222" s="44">
        <v>1200</v>
      </c>
      <c r="AD222" s="44">
        <v>1000</v>
      </c>
      <c r="AE222" s="44">
        <v>1000</v>
      </c>
      <c r="AF222" s="44">
        <v>1200</v>
      </c>
      <c r="AG222" s="44">
        <v>1000</v>
      </c>
      <c r="AH222" s="44">
        <v>1200</v>
      </c>
      <c r="AI222" s="44">
        <v>1000</v>
      </c>
      <c r="AJ222" s="44">
        <v>1000</v>
      </c>
      <c r="AK222" s="44">
        <v>1200</v>
      </c>
      <c r="AL222" s="44">
        <v>1000</v>
      </c>
      <c r="AM222" s="45"/>
    </row>
    <row r="223" spans="1:39" s="46" customFormat="1" ht="15.6">
      <c r="A223" s="39" t="s">
        <v>92</v>
      </c>
      <c r="B223" s="40" t="s">
        <v>324</v>
      </c>
      <c r="C223" s="41" t="s">
        <v>6</v>
      </c>
      <c r="D223" s="41" t="s">
        <v>6</v>
      </c>
      <c r="E223" s="41" t="s">
        <v>6</v>
      </c>
      <c r="F223" s="40" t="s">
        <v>6</v>
      </c>
      <c r="G223" s="40" t="s">
        <v>6</v>
      </c>
      <c r="H223" s="42"/>
      <c r="I223" s="108"/>
      <c r="J223" s="41" t="s">
        <v>6</v>
      </c>
      <c r="K223" s="41" t="s">
        <v>6</v>
      </c>
      <c r="L223" s="41" t="s">
        <v>6</v>
      </c>
      <c r="M223" s="41" t="s">
        <v>6</v>
      </c>
      <c r="N223" s="43">
        <v>76</v>
      </c>
      <c r="O223" s="43">
        <v>76</v>
      </c>
      <c r="P223" s="43">
        <v>96</v>
      </c>
      <c r="Q223" s="43">
        <v>80</v>
      </c>
      <c r="R223" s="43">
        <v>76</v>
      </c>
      <c r="S223" s="43">
        <v>100</v>
      </c>
      <c r="T223" s="43">
        <v>76</v>
      </c>
      <c r="U223" s="43">
        <v>96</v>
      </c>
      <c r="V223" s="43">
        <v>76</v>
      </c>
      <c r="W223" s="43">
        <v>76</v>
      </c>
      <c r="X223" s="43">
        <v>96</v>
      </c>
      <c r="Y223" s="43">
        <v>76</v>
      </c>
      <c r="Z223" s="79"/>
      <c r="AA223" s="44">
        <f>(54*2*4*0.6)</f>
        <v>259.2</v>
      </c>
      <c r="AB223" s="44">
        <f>(54*2*4*0.6)</f>
        <v>259.2</v>
      </c>
      <c r="AC223" s="44">
        <f>(54*2*5*0.6)</f>
        <v>324</v>
      </c>
      <c r="AD223" s="44">
        <f>(54*2*4*0.6)</f>
        <v>259.2</v>
      </c>
      <c r="AE223" s="44">
        <f>(54*2*4*0.6)</f>
        <v>259.2</v>
      </c>
      <c r="AF223" s="44">
        <f>(54*2*5*0.6)</f>
        <v>324</v>
      </c>
      <c r="AG223" s="44">
        <f>(54*2*4*0.6)</f>
        <v>259.2</v>
      </c>
      <c r="AH223" s="44">
        <f>(54*2*5*0.6)</f>
        <v>324</v>
      </c>
      <c r="AI223" s="44">
        <f>(54*2*4*0.6)</f>
        <v>259.2</v>
      </c>
      <c r="AJ223" s="44">
        <f>(54*2*4*0.6)</f>
        <v>259.2</v>
      </c>
      <c r="AK223" s="44">
        <f>(54*2*5*0.6)</f>
        <v>324</v>
      </c>
      <c r="AL223" s="44">
        <f>(54*2*4*0.6)</f>
        <v>259.2</v>
      </c>
      <c r="AM223" s="45"/>
    </row>
    <row r="224" spans="1:39" s="91" customFormat="1" ht="15.6">
      <c r="A224" s="87" t="s">
        <v>92</v>
      </c>
      <c r="B224" s="83" t="s">
        <v>335</v>
      </c>
      <c r="C224" s="96" t="s">
        <v>331</v>
      </c>
      <c r="D224" s="96" t="s">
        <v>948</v>
      </c>
      <c r="E224" s="96" t="s">
        <v>332</v>
      </c>
      <c r="F224" s="83" t="s">
        <v>29</v>
      </c>
      <c r="G224" s="83" t="s">
        <v>30</v>
      </c>
      <c r="H224" s="89" t="s">
        <v>31</v>
      </c>
      <c r="I224" s="108">
        <v>30.5</v>
      </c>
      <c r="J224" s="88" t="s">
        <v>125</v>
      </c>
      <c r="K224" s="96" t="s">
        <v>328</v>
      </c>
      <c r="L224" s="38" t="s">
        <v>34</v>
      </c>
      <c r="M224" s="90" t="s">
        <v>1</v>
      </c>
      <c r="N224" s="84">
        <v>82.935000000000002</v>
      </c>
      <c r="O224" s="84">
        <v>82.935000000000002</v>
      </c>
      <c r="P224" s="84">
        <v>104.75999999999999</v>
      </c>
      <c r="Q224" s="84">
        <v>82.935000000000002</v>
      </c>
      <c r="R224" s="84">
        <v>82.935000000000002</v>
      </c>
      <c r="S224" s="84">
        <v>104.75999999999999</v>
      </c>
      <c r="T224" s="84">
        <v>87.3</v>
      </c>
      <c r="U224" s="84">
        <v>109.125</v>
      </c>
      <c r="V224" s="84">
        <v>82.935000000000002</v>
      </c>
      <c r="W224" s="84">
        <v>78.569999999999993</v>
      </c>
      <c r="X224" s="84">
        <v>109.125</v>
      </c>
      <c r="Y224" s="84">
        <v>82.935000000000002</v>
      </c>
      <c r="Z224" s="38"/>
      <c r="AA224" s="37">
        <f t="shared" ref="AA224:AA228" si="279">$I224*N224</f>
        <v>2529.5174999999999</v>
      </c>
      <c r="AB224" s="37">
        <f t="shared" ref="AB224:AB228" si="280">$I224*O224</f>
        <v>2529.5174999999999</v>
      </c>
      <c r="AC224" s="37">
        <f t="shared" ref="AC224:AC228" si="281">$I224*P224</f>
        <v>3195.18</v>
      </c>
      <c r="AD224" s="37">
        <f t="shared" ref="AD224:AD228" si="282">$I224*Q224</f>
        <v>2529.5174999999999</v>
      </c>
      <c r="AE224" s="37">
        <f t="shared" ref="AE224:AE228" si="283">$I224*R224</f>
        <v>2529.5174999999999</v>
      </c>
      <c r="AF224" s="37">
        <f t="shared" ref="AF224:AF228" si="284">$I224*S224</f>
        <v>3195.18</v>
      </c>
      <c r="AG224" s="37">
        <f t="shared" ref="AG224:AG228" si="285">$I224*T224</f>
        <v>2662.65</v>
      </c>
      <c r="AH224" s="37">
        <f t="shared" ref="AH224:AH228" si="286">$I224*U224</f>
        <v>3328.3125</v>
      </c>
      <c r="AI224" s="37">
        <f t="shared" ref="AI224:AI228" si="287">$I224*V224</f>
        <v>2529.5174999999999</v>
      </c>
      <c r="AJ224" s="37">
        <f t="shared" ref="AJ224:AJ228" si="288">$I224*W224</f>
        <v>2396.3849999999998</v>
      </c>
      <c r="AK224" s="37">
        <f t="shared" ref="AK224:AK228" si="289">$I224*X224</f>
        <v>3328.3125</v>
      </c>
      <c r="AL224" s="37">
        <f t="shared" ref="AL224:AL228" si="290">$I224*Y224</f>
        <v>2529.5174999999999</v>
      </c>
      <c r="AM224" s="93">
        <v>0.5</v>
      </c>
    </row>
    <row r="225" spans="1:39" s="91" customFormat="1" ht="15.6">
      <c r="A225" s="87" t="s">
        <v>92</v>
      </c>
      <c r="B225" s="83" t="s">
        <v>335</v>
      </c>
      <c r="C225" s="96" t="s">
        <v>585</v>
      </c>
      <c r="D225" s="96" t="s">
        <v>949</v>
      </c>
      <c r="E225" s="96" t="s">
        <v>584</v>
      </c>
      <c r="F225" s="83" t="s">
        <v>29</v>
      </c>
      <c r="G225" s="83" t="s">
        <v>380</v>
      </c>
      <c r="H225" s="89" t="s">
        <v>31</v>
      </c>
      <c r="I225" s="108">
        <v>30.5</v>
      </c>
      <c r="J225" s="88" t="s">
        <v>125</v>
      </c>
      <c r="K225" s="96" t="s">
        <v>328</v>
      </c>
      <c r="L225" s="38" t="s">
        <v>34</v>
      </c>
      <c r="M225" s="90" t="s">
        <v>1</v>
      </c>
      <c r="N225" s="84">
        <v>82.935000000000002</v>
      </c>
      <c r="O225" s="84">
        <v>82.935000000000002</v>
      </c>
      <c r="P225" s="84">
        <v>104.75999999999999</v>
      </c>
      <c r="Q225" s="84">
        <v>82.935000000000002</v>
      </c>
      <c r="R225" s="84">
        <v>82.935000000000002</v>
      </c>
      <c r="S225" s="84">
        <v>104.75999999999999</v>
      </c>
      <c r="T225" s="84">
        <v>87.3</v>
      </c>
      <c r="U225" s="84">
        <v>109.125</v>
      </c>
      <c r="V225" s="84">
        <v>82.935000000000002</v>
      </c>
      <c r="W225" s="84">
        <v>78.569999999999993</v>
      </c>
      <c r="X225" s="84">
        <v>109.125</v>
      </c>
      <c r="Y225" s="84">
        <v>82.935000000000002</v>
      </c>
      <c r="Z225" s="38"/>
      <c r="AA225" s="37">
        <f t="shared" si="279"/>
        <v>2529.5174999999999</v>
      </c>
      <c r="AB225" s="37">
        <f t="shared" si="280"/>
        <v>2529.5174999999999</v>
      </c>
      <c r="AC225" s="37">
        <f t="shared" si="281"/>
        <v>3195.18</v>
      </c>
      <c r="AD225" s="37">
        <f t="shared" si="282"/>
        <v>2529.5174999999999</v>
      </c>
      <c r="AE225" s="37">
        <f t="shared" si="283"/>
        <v>2529.5174999999999</v>
      </c>
      <c r="AF225" s="37">
        <f t="shared" si="284"/>
        <v>3195.18</v>
      </c>
      <c r="AG225" s="37">
        <f t="shared" si="285"/>
        <v>2662.65</v>
      </c>
      <c r="AH225" s="37">
        <f t="shared" si="286"/>
        <v>3328.3125</v>
      </c>
      <c r="AI225" s="37">
        <f t="shared" si="287"/>
        <v>2529.5174999999999</v>
      </c>
      <c r="AJ225" s="37">
        <f t="shared" si="288"/>
        <v>2396.3849999999998</v>
      </c>
      <c r="AK225" s="37">
        <f t="shared" si="289"/>
        <v>3328.3125</v>
      </c>
      <c r="AL225" s="37">
        <f t="shared" si="290"/>
        <v>2529.5174999999999</v>
      </c>
      <c r="AM225" s="93">
        <v>0.5</v>
      </c>
    </row>
    <row r="226" spans="1:39" s="91" customFormat="1" ht="15.6">
      <c r="A226" s="87" t="s">
        <v>92</v>
      </c>
      <c r="B226" s="83" t="s">
        <v>335</v>
      </c>
      <c r="C226" s="96" t="s">
        <v>329</v>
      </c>
      <c r="D226" s="96" t="s">
        <v>950</v>
      </c>
      <c r="E226" s="96" t="s">
        <v>330</v>
      </c>
      <c r="F226" s="83" t="s">
        <v>112</v>
      </c>
      <c r="G226" s="83" t="s">
        <v>327</v>
      </c>
      <c r="H226" s="89">
        <v>8</v>
      </c>
      <c r="I226" s="108">
        <v>126</v>
      </c>
      <c r="J226" s="88" t="s">
        <v>125</v>
      </c>
      <c r="K226" s="96" t="s">
        <v>328</v>
      </c>
      <c r="L226" s="88" t="s">
        <v>74</v>
      </c>
      <c r="M226" s="90" t="s">
        <v>3</v>
      </c>
      <c r="N226" s="84">
        <v>76</v>
      </c>
      <c r="O226" s="84">
        <v>76</v>
      </c>
      <c r="P226" s="84">
        <v>96</v>
      </c>
      <c r="Q226" s="84">
        <v>80</v>
      </c>
      <c r="R226" s="84">
        <v>76</v>
      </c>
      <c r="S226" s="84">
        <v>100</v>
      </c>
      <c r="T226" s="84">
        <v>76</v>
      </c>
      <c r="U226" s="84">
        <v>96</v>
      </c>
      <c r="V226" s="84">
        <v>76</v>
      </c>
      <c r="W226" s="84">
        <v>76</v>
      </c>
      <c r="X226" s="84">
        <v>96</v>
      </c>
      <c r="Y226" s="84">
        <v>76</v>
      </c>
      <c r="Z226" s="38"/>
      <c r="AA226" s="37">
        <f t="shared" si="279"/>
        <v>9576</v>
      </c>
      <c r="AB226" s="37">
        <f t="shared" si="280"/>
        <v>9576</v>
      </c>
      <c r="AC226" s="37">
        <f t="shared" si="281"/>
        <v>12096</v>
      </c>
      <c r="AD226" s="37">
        <f t="shared" si="282"/>
        <v>10080</v>
      </c>
      <c r="AE226" s="37">
        <f t="shared" si="283"/>
        <v>9576</v>
      </c>
      <c r="AF226" s="37">
        <f t="shared" si="284"/>
        <v>12600</v>
      </c>
      <c r="AG226" s="37">
        <f t="shared" si="285"/>
        <v>9576</v>
      </c>
      <c r="AH226" s="37">
        <f t="shared" si="286"/>
        <v>12096</v>
      </c>
      <c r="AI226" s="37">
        <f t="shared" si="287"/>
        <v>9576</v>
      </c>
      <c r="AJ226" s="37">
        <f t="shared" si="288"/>
        <v>9576</v>
      </c>
      <c r="AK226" s="37">
        <f t="shared" si="289"/>
        <v>12096</v>
      </c>
      <c r="AL226" s="37">
        <f t="shared" si="290"/>
        <v>9576</v>
      </c>
      <c r="AM226" s="93">
        <v>0.5</v>
      </c>
    </row>
    <row r="227" spans="1:39" s="91" customFormat="1" ht="15.6">
      <c r="A227" s="87" t="s">
        <v>92</v>
      </c>
      <c r="B227" s="83" t="s">
        <v>335</v>
      </c>
      <c r="C227" s="96" t="s">
        <v>325</v>
      </c>
      <c r="D227" s="96" t="s">
        <v>951</v>
      </c>
      <c r="E227" s="96" t="s">
        <v>326</v>
      </c>
      <c r="F227" s="83" t="s">
        <v>112</v>
      </c>
      <c r="G227" s="83" t="s">
        <v>327</v>
      </c>
      <c r="H227" s="89">
        <v>8</v>
      </c>
      <c r="I227" s="108">
        <v>185.5</v>
      </c>
      <c r="J227" s="88" t="s">
        <v>125</v>
      </c>
      <c r="K227" s="96" t="s">
        <v>328</v>
      </c>
      <c r="L227" s="38" t="s">
        <v>74</v>
      </c>
      <c r="M227" s="90" t="s">
        <v>2</v>
      </c>
      <c r="N227" s="84">
        <v>76</v>
      </c>
      <c r="O227" s="84">
        <v>76</v>
      </c>
      <c r="P227" s="84">
        <v>96</v>
      </c>
      <c r="Q227" s="84">
        <v>80</v>
      </c>
      <c r="R227" s="84">
        <v>76</v>
      </c>
      <c r="S227" s="84">
        <v>100</v>
      </c>
      <c r="T227" s="84">
        <v>76</v>
      </c>
      <c r="U227" s="84">
        <v>96</v>
      </c>
      <c r="V227" s="84">
        <v>76</v>
      </c>
      <c r="W227" s="84">
        <v>76</v>
      </c>
      <c r="X227" s="84">
        <v>96</v>
      </c>
      <c r="Y227" s="84">
        <v>76</v>
      </c>
      <c r="Z227" s="38"/>
      <c r="AA227" s="37">
        <f t="shared" si="279"/>
        <v>14098</v>
      </c>
      <c r="AB227" s="37">
        <f t="shared" si="280"/>
        <v>14098</v>
      </c>
      <c r="AC227" s="37">
        <f t="shared" si="281"/>
        <v>17808</v>
      </c>
      <c r="AD227" s="37">
        <f t="shared" si="282"/>
        <v>14840</v>
      </c>
      <c r="AE227" s="37">
        <f t="shared" si="283"/>
        <v>14098</v>
      </c>
      <c r="AF227" s="37">
        <f t="shared" si="284"/>
        <v>18550</v>
      </c>
      <c r="AG227" s="37">
        <f t="shared" si="285"/>
        <v>14098</v>
      </c>
      <c r="AH227" s="37">
        <f t="shared" si="286"/>
        <v>17808</v>
      </c>
      <c r="AI227" s="37">
        <f t="shared" si="287"/>
        <v>14098</v>
      </c>
      <c r="AJ227" s="37">
        <f t="shared" si="288"/>
        <v>14098</v>
      </c>
      <c r="AK227" s="37">
        <f t="shared" si="289"/>
        <v>17808</v>
      </c>
      <c r="AL227" s="37">
        <f t="shared" si="290"/>
        <v>14098</v>
      </c>
      <c r="AM227" s="93">
        <v>0.5</v>
      </c>
    </row>
    <row r="228" spans="1:39" s="91" customFormat="1" ht="15.6">
      <c r="A228" s="87" t="s">
        <v>92</v>
      </c>
      <c r="B228" s="83" t="s">
        <v>335</v>
      </c>
      <c r="C228" s="96" t="s">
        <v>333</v>
      </c>
      <c r="D228" s="96" t="s">
        <v>952</v>
      </c>
      <c r="E228" s="96" t="s">
        <v>334</v>
      </c>
      <c r="F228" s="83" t="s">
        <v>112</v>
      </c>
      <c r="G228" s="83" t="s">
        <v>229</v>
      </c>
      <c r="H228" s="89">
        <v>8</v>
      </c>
      <c r="I228" s="108">
        <v>132.5</v>
      </c>
      <c r="J228" s="88" t="s">
        <v>125</v>
      </c>
      <c r="K228" s="96" t="s">
        <v>328</v>
      </c>
      <c r="L228" s="38" t="s">
        <v>74</v>
      </c>
      <c r="M228" s="90" t="s">
        <v>2</v>
      </c>
      <c r="N228" s="84">
        <v>76</v>
      </c>
      <c r="O228" s="84">
        <v>76</v>
      </c>
      <c r="P228" s="84">
        <v>96</v>
      </c>
      <c r="Q228" s="84">
        <v>80</v>
      </c>
      <c r="R228" s="84">
        <v>76</v>
      </c>
      <c r="S228" s="84">
        <v>100</v>
      </c>
      <c r="T228" s="84">
        <v>76</v>
      </c>
      <c r="U228" s="84">
        <v>96</v>
      </c>
      <c r="V228" s="84">
        <v>76</v>
      </c>
      <c r="W228" s="84">
        <v>76</v>
      </c>
      <c r="X228" s="84">
        <v>96</v>
      </c>
      <c r="Y228" s="84">
        <v>76</v>
      </c>
      <c r="Z228" s="38"/>
      <c r="AA228" s="37">
        <f t="shared" si="279"/>
        <v>10070</v>
      </c>
      <c r="AB228" s="37">
        <f t="shared" si="280"/>
        <v>10070</v>
      </c>
      <c r="AC228" s="37">
        <f t="shared" si="281"/>
        <v>12720</v>
      </c>
      <c r="AD228" s="37">
        <f t="shared" si="282"/>
        <v>10600</v>
      </c>
      <c r="AE228" s="37">
        <f t="shared" si="283"/>
        <v>10070</v>
      </c>
      <c r="AF228" s="37">
        <f t="shared" si="284"/>
        <v>13250</v>
      </c>
      <c r="AG228" s="37">
        <f t="shared" si="285"/>
        <v>10070</v>
      </c>
      <c r="AH228" s="37">
        <f t="shared" si="286"/>
        <v>12720</v>
      </c>
      <c r="AI228" s="37">
        <f t="shared" si="287"/>
        <v>10070</v>
      </c>
      <c r="AJ228" s="37">
        <f t="shared" si="288"/>
        <v>10070</v>
      </c>
      <c r="AK228" s="37">
        <f t="shared" si="289"/>
        <v>12720</v>
      </c>
      <c r="AL228" s="37">
        <f t="shared" si="290"/>
        <v>10070</v>
      </c>
      <c r="AM228" s="93">
        <v>0.5</v>
      </c>
    </row>
    <row r="229" spans="1:39" s="46" customFormat="1" ht="15.6">
      <c r="A229" s="39" t="s">
        <v>92</v>
      </c>
      <c r="B229" s="40" t="s">
        <v>335</v>
      </c>
      <c r="C229" s="41" t="s">
        <v>4</v>
      </c>
      <c r="D229" s="41" t="s">
        <v>4</v>
      </c>
      <c r="E229" s="41" t="s">
        <v>4</v>
      </c>
      <c r="F229" s="40" t="s">
        <v>4</v>
      </c>
      <c r="G229" s="40" t="s">
        <v>4</v>
      </c>
      <c r="H229" s="42"/>
      <c r="I229" s="108"/>
      <c r="J229" s="41" t="s">
        <v>4</v>
      </c>
      <c r="K229" s="41" t="s">
        <v>4</v>
      </c>
      <c r="L229" s="41" t="s">
        <v>4</v>
      </c>
      <c r="M229" s="41" t="s">
        <v>4</v>
      </c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79"/>
      <c r="AA229" s="44">
        <f t="shared" ref="AA229:AL229" si="291">((SUMIFS(AA1:AA391, $B$1:$B$391,"RAQMM", $F$1:$F$391,"India")*0.15)+SUMIFS(AA1:AA391, $B$1:$B$391,"RAQMM", $F$1:$F$391,"PH")*0.15)</f>
        <v>758.85524999999996</v>
      </c>
      <c r="AB229" s="44">
        <f t="shared" si="291"/>
        <v>758.85524999999996</v>
      </c>
      <c r="AC229" s="44">
        <f t="shared" si="291"/>
        <v>958.55399999999986</v>
      </c>
      <c r="AD229" s="44">
        <f t="shared" si="291"/>
        <v>758.85524999999996</v>
      </c>
      <c r="AE229" s="44">
        <f t="shared" si="291"/>
        <v>758.85524999999996</v>
      </c>
      <c r="AF229" s="44">
        <f t="shared" si="291"/>
        <v>958.55399999999986</v>
      </c>
      <c r="AG229" s="44">
        <f t="shared" si="291"/>
        <v>798.79499999999996</v>
      </c>
      <c r="AH229" s="44">
        <f t="shared" si="291"/>
        <v>998.49374999999998</v>
      </c>
      <c r="AI229" s="44">
        <f t="shared" si="291"/>
        <v>758.85524999999996</v>
      </c>
      <c r="AJ229" s="44">
        <f t="shared" si="291"/>
        <v>718.91549999999995</v>
      </c>
      <c r="AK229" s="44">
        <f t="shared" si="291"/>
        <v>998.49374999999998</v>
      </c>
      <c r="AL229" s="44">
        <f t="shared" si="291"/>
        <v>758.85524999999996</v>
      </c>
      <c r="AM229" s="45"/>
    </row>
    <row r="230" spans="1:39" s="46" customFormat="1" ht="15.6">
      <c r="A230" s="39" t="s">
        <v>92</v>
      </c>
      <c r="B230" s="40" t="s">
        <v>335</v>
      </c>
      <c r="C230" s="41" t="s">
        <v>5</v>
      </c>
      <c r="D230" s="41" t="s">
        <v>5</v>
      </c>
      <c r="E230" s="41" t="s">
        <v>5</v>
      </c>
      <c r="F230" s="40" t="s">
        <v>5</v>
      </c>
      <c r="G230" s="40" t="s">
        <v>5</v>
      </c>
      <c r="H230" s="42"/>
      <c r="I230" s="108"/>
      <c r="J230" s="41" t="s">
        <v>5</v>
      </c>
      <c r="K230" s="41" t="s">
        <v>5</v>
      </c>
      <c r="L230" s="41" t="s">
        <v>5</v>
      </c>
      <c r="M230" s="41" t="s">
        <v>5</v>
      </c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79"/>
      <c r="AA230" s="44">
        <v>1000</v>
      </c>
      <c r="AB230" s="44">
        <v>1000</v>
      </c>
      <c r="AC230" s="44">
        <v>1200</v>
      </c>
      <c r="AD230" s="44">
        <v>1000</v>
      </c>
      <c r="AE230" s="44">
        <v>1000</v>
      </c>
      <c r="AF230" s="44">
        <v>1200</v>
      </c>
      <c r="AG230" s="44">
        <v>1000</v>
      </c>
      <c r="AH230" s="44">
        <v>1200</v>
      </c>
      <c r="AI230" s="44">
        <v>1000</v>
      </c>
      <c r="AJ230" s="44">
        <v>1000</v>
      </c>
      <c r="AK230" s="44">
        <v>1200</v>
      </c>
      <c r="AL230" s="44">
        <v>1000</v>
      </c>
      <c r="AM230" s="45"/>
    </row>
    <row r="231" spans="1:39" s="46" customFormat="1" ht="15.6">
      <c r="A231" s="39" t="s">
        <v>92</v>
      </c>
      <c r="B231" s="40" t="s">
        <v>335</v>
      </c>
      <c r="C231" s="41" t="s">
        <v>6</v>
      </c>
      <c r="D231" s="41" t="s">
        <v>6</v>
      </c>
      <c r="E231" s="41" t="s">
        <v>6</v>
      </c>
      <c r="F231" s="40" t="s">
        <v>6</v>
      </c>
      <c r="G231" s="40" t="s">
        <v>6</v>
      </c>
      <c r="H231" s="42"/>
      <c r="I231" s="108"/>
      <c r="J231" s="41" t="s">
        <v>6</v>
      </c>
      <c r="K231" s="41" t="s">
        <v>6</v>
      </c>
      <c r="L231" s="41" t="s">
        <v>6</v>
      </c>
      <c r="M231" s="41" t="s">
        <v>6</v>
      </c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79"/>
      <c r="AA231" s="44">
        <f>(54*2*4*0.6)</f>
        <v>259.2</v>
      </c>
      <c r="AB231" s="44">
        <f>(54*2*4*0.6)</f>
        <v>259.2</v>
      </c>
      <c r="AC231" s="44">
        <f>(54*2*5*0.6)</f>
        <v>324</v>
      </c>
      <c r="AD231" s="44">
        <f>(54*2*4*0.6)</f>
        <v>259.2</v>
      </c>
      <c r="AE231" s="44">
        <f>(54*2*4*0.6)</f>
        <v>259.2</v>
      </c>
      <c r="AF231" s="44">
        <f>(54*2*5*0.6)</f>
        <v>324</v>
      </c>
      <c r="AG231" s="44">
        <f>(54*2*4*0.6)</f>
        <v>259.2</v>
      </c>
      <c r="AH231" s="44">
        <f>(54*2*5*0.6)</f>
        <v>324</v>
      </c>
      <c r="AI231" s="44">
        <f>(54*2*4*0.6)</f>
        <v>259.2</v>
      </c>
      <c r="AJ231" s="44">
        <f>(54*2*4*0.6)</f>
        <v>259.2</v>
      </c>
      <c r="AK231" s="44">
        <f>(54*2*5*0.6)</f>
        <v>324</v>
      </c>
      <c r="AL231" s="44">
        <f>(54*2*4*0.6)</f>
        <v>259.2</v>
      </c>
      <c r="AM231" s="45"/>
    </row>
    <row r="232" spans="1:39" s="91" customFormat="1" ht="15.6">
      <c r="A232" s="87" t="s">
        <v>92</v>
      </c>
      <c r="B232" s="83" t="s">
        <v>737</v>
      </c>
      <c r="C232" s="96" t="s">
        <v>738</v>
      </c>
      <c r="D232" s="96" t="s">
        <v>794</v>
      </c>
      <c r="E232" s="96" t="s">
        <v>739</v>
      </c>
      <c r="F232" s="83" t="s">
        <v>112</v>
      </c>
      <c r="G232" s="83" t="s">
        <v>229</v>
      </c>
      <c r="H232" s="89">
        <v>8</v>
      </c>
      <c r="I232" s="108">
        <v>105.5</v>
      </c>
      <c r="J232" s="88" t="s">
        <v>125</v>
      </c>
      <c r="K232" s="96" t="s">
        <v>740</v>
      </c>
      <c r="L232" s="88" t="s">
        <v>74</v>
      </c>
      <c r="M232" s="90" t="s">
        <v>3</v>
      </c>
      <c r="N232" s="84">
        <v>152</v>
      </c>
      <c r="O232" s="84">
        <v>152</v>
      </c>
      <c r="P232" s="84">
        <v>192</v>
      </c>
      <c r="Q232" s="84">
        <v>160</v>
      </c>
      <c r="R232" s="84">
        <v>152</v>
      </c>
      <c r="S232" s="84">
        <v>200</v>
      </c>
      <c r="T232" s="84">
        <v>152</v>
      </c>
      <c r="U232" s="84">
        <v>192</v>
      </c>
      <c r="V232" s="84">
        <v>152</v>
      </c>
      <c r="W232" s="84">
        <v>152</v>
      </c>
      <c r="X232" s="84">
        <v>192</v>
      </c>
      <c r="Y232" s="84">
        <v>152</v>
      </c>
      <c r="Z232" s="38"/>
      <c r="AA232" s="37">
        <f t="shared" ref="AA232:AA233" si="292">$I232*N232</f>
        <v>16036</v>
      </c>
      <c r="AB232" s="37">
        <f t="shared" ref="AB232:AB233" si="293">$I232*O232</f>
        <v>16036</v>
      </c>
      <c r="AC232" s="37">
        <f t="shared" ref="AC232:AC233" si="294">$I232*P232</f>
        <v>20256</v>
      </c>
      <c r="AD232" s="37">
        <f t="shared" ref="AD232:AD233" si="295">$I232*Q232</f>
        <v>16880</v>
      </c>
      <c r="AE232" s="37">
        <f t="shared" ref="AE232:AE233" si="296">$I232*R232</f>
        <v>16036</v>
      </c>
      <c r="AF232" s="37">
        <f t="shared" ref="AF232:AF233" si="297">$I232*S232</f>
        <v>21100</v>
      </c>
      <c r="AG232" s="37">
        <f t="shared" ref="AG232:AG233" si="298">$I232*T232</f>
        <v>16036</v>
      </c>
      <c r="AH232" s="37">
        <f t="shared" ref="AH232:AH233" si="299">$I232*U232</f>
        <v>20256</v>
      </c>
      <c r="AI232" s="37">
        <f t="shared" ref="AI232:AI233" si="300">$I232*V232</f>
        <v>16036</v>
      </c>
      <c r="AJ232" s="37">
        <f t="shared" ref="AJ232:AJ233" si="301">$I232*W232</f>
        <v>16036</v>
      </c>
      <c r="AK232" s="37">
        <f t="shared" ref="AK232:AK233" si="302">$I232*X232</f>
        <v>20256</v>
      </c>
      <c r="AL232" s="37">
        <f t="shared" ref="AL232:AL233" si="303">$I232*Y232</f>
        <v>16036</v>
      </c>
      <c r="AM232" s="93">
        <v>1</v>
      </c>
    </row>
    <row r="233" spans="1:39" s="91" customFormat="1" ht="15.6">
      <c r="A233" s="87" t="s">
        <v>92</v>
      </c>
      <c r="B233" s="83" t="s">
        <v>737</v>
      </c>
      <c r="C233" s="88" t="s">
        <v>488</v>
      </c>
      <c r="D233" s="88" t="s">
        <v>953</v>
      </c>
      <c r="E233" s="88" t="s">
        <v>356</v>
      </c>
      <c r="F233" s="83" t="s">
        <v>29</v>
      </c>
      <c r="G233" s="83" t="s">
        <v>357</v>
      </c>
      <c r="H233" s="89" t="s">
        <v>36</v>
      </c>
      <c r="I233" s="108">
        <v>29.5</v>
      </c>
      <c r="J233" s="88" t="s">
        <v>125</v>
      </c>
      <c r="K233" s="96" t="s">
        <v>328</v>
      </c>
      <c r="L233" s="38" t="s">
        <v>34</v>
      </c>
      <c r="M233" s="90" t="s">
        <v>1</v>
      </c>
      <c r="N233" s="84">
        <v>165.87</v>
      </c>
      <c r="O233" s="84">
        <v>165.87</v>
      </c>
      <c r="P233" s="84">
        <v>209.51999999999998</v>
      </c>
      <c r="Q233" s="84">
        <v>174.6</v>
      </c>
      <c r="R233" s="84">
        <v>165.87</v>
      </c>
      <c r="S233" s="84">
        <v>200.79</v>
      </c>
      <c r="T233" s="84">
        <v>174.6</v>
      </c>
      <c r="U233" s="84">
        <v>218.25</v>
      </c>
      <c r="V233" s="84">
        <v>165.87</v>
      </c>
      <c r="W233" s="84">
        <v>157.13999999999999</v>
      </c>
      <c r="X233" s="84">
        <v>218.25</v>
      </c>
      <c r="Y233" s="84">
        <v>165.87</v>
      </c>
      <c r="Z233" s="123"/>
      <c r="AA233" s="37">
        <f t="shared" si="292"/>
        <v>4893.165</v>
      </c>
      <c r="AB233" s="37">
        <f t="shared" si="293"/>
        <v>4893.165</v>
      </c>
      <c r="AC233" s="37">
        <f t="shared" si="294"/>
        <v>6180.8399999999992</v>
      </c>
      <c r="AD233" s="37">
        <f t="shared" si="295"/>
        <v>5150.7</v>
      </c>
      <c r="AE233" s="37">
        <f t="shared" si="296"/>
        <v>4893.165</v>
      </c>
      <c r="AF233" s="37">
        <f t="shared" si="297"/>
        <v>5923.3049999999994</v>
      </c>
      <c r="AG233" s="37">
        <f t="shared" si="298"/>
        <v>5150.7</v>
      </c>
      <c r="AH233" s="37">
        <f t="shared" si="299"/>
        <v>6438.375</v>
      </c>
      <c r="AI233" s="37">
        <f t="shared" si="300"/>
        <v>4893.165</v>
      </c>
      <c r="AJ233" s="37">
        <f t="shared" si="301"/>
        <v>4635.6299999999992</v>
      </c>
      <c r="AK233" s="37">
        <f t="shared" si="302"/>
        <v>6438.375</v>
      </c>
      <c r="AL233" s="37">
        <f t="shared" si="303"/>
        <v>4893.165</v>
      </c>
      <c r="AM233" s="93">
        <v>1</v>
      </c>
    </row>
    <row r="234" spans="1:39" s="46" customFormat="1" ht="15.6">
      <c r="A234" s="39" t="s">
        <v>92</v>
      </c>
      <c r="B234" s="40" t="s">
        <v>737</v>
      </c>
      <c r="C234" s="41" t="s">
        <v>4</v>
      </c>
      <c r="D234" s="41" t="s">
        <v>4</v>
      </c>
      <c r="E234" s="41" t="s">
        <v>4</v>
      </c>
      <c r="F234" s="40" t="s">
        <v>4</v>
      </c>
      <c r="G234" s="40" t="s">
        <v>4</v>
      </c>
      <c r="H234" s="42"/>
      <c r="I234" s="108"/>
      <c r="J234" s="41" t="s">
        <v>4</v>
      </c>
      <c r="K234" s="41" t="s">
        <v>4</v>
      </c>
      <c r="L234" s="41" t="s">
        <v>4</v>
      </c>
      <c r="M234" s="41" t="s">
        <v>4</v>
      </c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79"/>
      <c r="AA234" s="44">
        <f t="shared" ref="AA234:AL234" si="304">((SUMIFS(AA1:AA391, $B$1:$B$391,"RASZP", $F$1:$F$391,"India")*0.15)+SUMIFS(AA1:AA391, $B$1:$B$391,"RASZP", $F$1:$F$391,"PH")*0.15)</f>
        <v>733.97474999999997</v>
      </c>
      <c r="AB234" s="44">
        <f t="shared" si="304"/>
        <v>733.97474999999997</v>
      </c>
      <c r="AC234" s="44">
        <f t="shared" si="304"/>
        <v>927.12599999999986</v>
      </c>
      <c r="AD234" s="44">
        <f t="shared" si="304"/>
        <v>772.6049999999999</v>
      </c>
      <c r="AE234" s="44">
        <f t="shared" si="304"/>
        <v>733.97474999999997</v>
      </c>
      <c r="AF234" s="44">
        <f t="shared" si="304"/>
        <v>888.49574999999993</v>
      </c>
      <c r="AG234" s="44">
        <f t="shared" si="304"/>
        <v>772.6049999999999</v>
      </c>
      <c r="AH234" s="44">
        <f t="shared" si="304"/>
        <v>965.75624999999991</v>
      </c>
      <c r="AI234" s="44">
        <f t="shared" si="304"/>
        <v>733.97474999999997</v>
      </c>
      <c r="AJ234" s="44">
        <f t="shared" si="304"/>
        <v>695.34449999999981</v>
      </c>
      <c r="AK234" s="44">
        <f t="shared" si="304"/>
        <v>965.75624999999991</v>
      </c>
      <c r="AL234" s="44">
        <f t="shared" si="304"/>
        <v>733.97474999999997</v>
      </c>
      <c r="AM234" s="45"/>
    </row>
    <row r="235" spans="1:39" s="46" customFormat="1" ht="15.6">
      <c r="A235" s="39" t="s">
        <v>92</v>
      </c>
      <c r="B235" s="40" t="s">
        <v>737</v>
      </c>
      <c r="C235" s="41" t="s">
        <v>5</v>
      </c>
      <c r="D235" s="41" t="s">
        <v>5</v>
      </c>
      <c r="E235" s="41" t="s">
        <v>5</v>
      </c>
      <c r="F235" s="40" t="s">
        <v>5</v>
      </c>
      <c r="G235" s="40" t="s">
        <v>5</v>
      </c>
      <c r="H235" s="42"/>
      <c r="I235" s="108"/>
      <c r="J235" s="41" t="s">
        <v>5</v>
      </c>
      <c r="K235" s="41" t="s">
        <v>5</v>
      </c>
      <c r="L235" s="41" t="s">
        <v>5</v>
      </c>
      <c r="M235" s="41" t="s">
        <v>5</v>
      </c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79"/>
      <c r="AA235" s="44">
        <v>500</v>
      </c>
      <c r="AB235" s="44">
        <v>500</v>
      </c>
      <c r="AC235" s="44">
        <v>600</v>
      </c>
      <c r="AD235" s="44">
        <v>500</v>
      </c>
      <c r="AE235" s="44">
        <v>500</v>
      </c>
      <c r="AF235" s="44">
        <v>600</v>
      </c>
      <c r="AG235" s="44">
        <v>500</v>
      </c>
      <c r="AH235" s="44">
        <v>600</v>
      </c>
      <c r="AI235" s="44">
        <v>500</v>
      </c>
      <c r="AJ235" s="44">
        <v>500</v>
      </c>
      <c r="AK235" s="44">
        <v>600</v>
      </c>
      <c r="AL235" s="44">
        <v>500</v>
      </c>
      <c r="AM235" s="45"/>
    </row>
    <row r="236" spans="1:39" s="46" customFormat="1" ht="15.6">
      <c r="A236" s="39" t="s">
        <v>92</v>
      </c>
      <c r="B236" s="40" t="s">
        <v>737</v>
      </c>
      <c r="C236" s="41" t="s">
        <v>6</v>
      </c>
      <c r="D236" s="41" t="s">
        <v>6</v>
      </c>
      <c r="E236" s="41" t="s">
        <v>6</v>
      </c>
      <c r="F236" s="40" t="s">
        <v>6</v>
      </c>
      <c r="G236" s="40" t="s">
        <v>6</v>
      </c>
      <c r="H236" s="42"/>
      <c r="I236" s="108"/>
      <c r="J236" s="41" t="s">
        <v>6</v>
      </c>
      <c r="K236" s="41" t="s">
        <v>6</v>
      </c>
      <c r="L236" s="41" t="s">
        <v>6</v>
      </c>
      <c r="M236" s="41" t="s">
        <v>6</v>
      </c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79"/>
      <c r="AA236" s="44">
        <f>(54*2*4*0.6)</f>
        <v>259.2</v>
      </c>
      <c r="AB236" s="44">
        <f>(54*2*4*0.6)</f>
        <v>259.2</v>
      </c>
      <c r="AC236" s="44">
        <f>(54*2*5*0.6)</f>
        <v>324</v>
      </c>
      <c r="AD236" s="44">
        <f>(54*2*4*0.6)</f>
        <v>259.2</v>
      </c>
      <c r="AE236" s="44">
        <f>(54*2*4*0.6)</f>
        <v>259.2</v>
      </c>
      <c r="AF236" s="44">
        <f>(54*2*5*0.6)</f>
        <v>324</v>
      </c>
      <c r="AG236" s="44">
        <f>(54*2*4*0.6)</f>
        <v>259.2</v>
      </c>
      <c r="AH236" s="44">
        <f>(54*2*5*0.6)</f>
        <v>324</v>
      </c>
      <c r="AI236" s="44">
        <f>(54*2*4*0.6)</f>
        <v>259.2</v>
      </c>
      <c r="AJ236" s="44">
        <f>(54*2*4*0.6)</f>
        <v>259.2</v>
      </c>
      <c r="AK236" s="44">
        <f>(54*2*5*0.6)</f>
        <v>324</v>
      </c>
      <c r="AL236" s="44">
        <f>(54*2*4*0.6)</f>
        <v>259.2</v>
      </c>
      <c r="AM236" s="45"/>
    </row>
    <row r="237" spans="1:39" s="91" customFormat="1" ht="15.6">
      <c r="A237" s="87" t="s">
        <v>92</v>
      </c>
      <c r="B237" s="83" t="s">
        <v>93</v>
      </c>
      <c r="C237" s="38" t="s">
        <v>548</v>
      </c>
      <c r="D237" s="38" t="s">
        <v>954</v>
      </c>
      <c r="E237" s="96" t="s">
        <v>113</v>
      </c>
      <c r="F237" s="83" t="s">
        <v>72</v>
      </c>
      <c r="G237" s="83" t="s">
        <v>73</v>
      </c>
      <c r="H237" s="89">
        <v>7</v>
      </c>
      <c r="I237" s="108">
        <v>88.5</v>
      </c>
      <c r="J237" s="88" t="s">
        <v>91</v>
      </c>
      <c r="K237" s="38" t="s">
        <v>661</v>
      </c>
      <c r="L237" s="38" t="s">
        <v>74</v>
      </c>
      <c r="M237" s="90" t="s">
        <v>2</v>
      </c>
      <c r="N237" s="84">
        <v>152</v>
      </c>
      <c r="O237" s="84">
        <v>152</v>
      </c>
      <c r="P237" s="84">
        <v>192</v>
      </c>
      <c r="Q237" s="84">
        <v>160</v>
      </c>
      <c r="R237" s="84">
        <v>152</v>
      </c>
      <c r="S237" s="84">
        <v>200</v>
      </c>
      <c r="T237" s="84">
        <v>152</v>
      </c>
      <c r="U237" s="84">
        <v>192</v>
      </c>
      <c r="V237" s="84">
        <v>152</v>
      </c>
      <c r="W237" s="84">
        <v>152</v>
      </c>
      <c r="X237" s="84">
        <v>192</v>
      </c>
      <c r="Y237" s="84">
        <v>152</v>
      </c>
      <c r="Z237" s="38"/>
      <c r="AA237" s="37">
        <f t="shared" ref="AA237:AA260" si="305">$I237*N237</f>
        <v>13452</v>
      </c>
      <c r="AB237" s="37">
        <f t="shared" ref="AB237:AB260" si="306">$I237*O237</f>
        <v>13452</v>
      </c>
      <c r="AC237" s="37">
        <f t="shared" ref="AC237:AC260" si="307">$I237*P237</f>
        <v>16992</v>
      </c>
      <c r="AD237" s="37">
        <f t="shared" ref="AD237:AD260" si="308">$I237*Q237</f>
        <v>14160</v>
      </c>
      <c r="AE237" s="37">
        <f t="shared" ref="AE237:AE260" si="309">$I237*R237</f>
        <v>13452</v>
      </c>
      <c r="AF237" s="37">
        <f t="shared" ref="AF237:AF260" si="310">$I237*S237</f>
        <v>17700</v>
      </c>
      <c r="AG237" s="37">
        <f t="shared" ref="AG237:AG260" si="311">$I237*T237</f>
        <v>13452</v>
      </c>
      <c r="AH237" s="37">
        <f t="shared" ref="AH237:AH260" si="312">$I237*U237</f>
        <v>16992</v>
      </c>
      <c r="AI237" s="37">
        <f t="shared" ref="AI237:AI260" si="313">$I237*V237</f>
        <v>13452</v>
      </c>
      <c r="AJ237" s="37">
        <f t="shared" ref="AJ237:AJ260" si="314">$I237*W237</f>
        <v>13452</v>
      </c>
      <c r="AK237" s="37">
        <f t="shared" ref="AK237:AK260" si="315">$I237*X237</f>
        <v>16992</v>
      </c>
      <c r="AL237" s="37">
        <f t="shared" ref="AL237:AL260" si="316">$I237*Y237</f>
        <v>13452</v>
      </c>
      <c r="AM237" s="93">
        <v>1</v>
      </c>
    </row>
    <row r="238" spans="1:39" s="91" customFormat="1" ht="15.6">
      <c r="A238" s="87" t="s">
        <v>92</v>
      </c>
      <c r="B238" s="83" t="s">
        <v>93</v>
      </c>
      <c r="C238" s="100" t="s">
        <v>96</v>
      </c>
      <c r="D238" s="100" t="s">
        <v>955</v>
      </c>
      <c r="E238" s="100" t="s">
        <v>97</v>
      </c>
      <c r="F238" s="83" t="s">
        <v>29</v>
      </c>
      <c r="G238" s="89" t="s">
        <v>49</v>
      </c>
      <c r="H238" s="102" t="s">
        <v>60</v>
      </c>
      <c r="I238" s="108">
        <v>19</v>
      </c>
      <c r="J238" s="88" t="s">
        <v>91</v>
      </c>
      <c r="K238" s="38" t="s">
        <v>661</v>
      </c>
      <c r="L238" s="38" t="s">
        <v>34</v>
      </c>
      <c r="M238" s="90" t="s">
        <v>1</v>
      </c>
      <c r="N238" s="84">
        <v>165.87</v>
      </c>
      <c r="O238" s="84">
        <v>165.87</v>
      </c>
      <c r="P238" s="84">
        <v>209.51999999999998</v>
      </c>
      <c r="Q238" s="84"/>
      <c r="R238" s="84"/>
      <c r="S238" s="84"/>
      <c r="T238" s="84"/>
      <c r="U238" s="84"/>
      <c r="V238" s="84"/>
      <c r="W238" s="84"/>
      <c r="X238" s="84"/>
      <c r="Y238" s="84"/>
      <c r="Z238" s="38"/>
      <c r="AA238" s="37">
        <f t="shared" si="305"/>
        <v>3151.53</v>
      </c>
      <c r="AB238" s="37">
        <f t="shared" si="306"/>
        <v>3151.53</v>
      </c>
      <c r="AC238" s="37">
        <f t="shared" si="307"/>
        <v>3980.8799999999997</v>
      </c>
      <c r="AD238" s="37">
        <f t="shared" si="308"/>
        <v>0</v>
      </c>
      <c r="AE238" s="37">
        <f t="shared" si="309"/>
        <v>0</v>
      </c>
      <c r="AF238" s="37">
        <f t="shared" si="310"/>
        <v>0</v>
      </c>
      <c r="AG238" s="37">
        <f t="shared" si="311"/>
        <v>0</v>
      </c>
      <c r="AH238" s="37">
        <f t="shared" si="312"/>
        <v>0</v>
      </c>
      <c r="AI238" s="37">
        <f t="shared" si="313"/>
        <v>0</v>
      </c>
      <c r="AJ238" s="37">
        <f t="shared" si="314"/>
        <v>0</v>
      </c>
      <c r="AK238" s="37">
        <f t="shared" si="315"/>
        <v>0</v>
      </c>
      <c r="AL238" s="37">
        <f t="shared" si="316"/>
        <v>0</v>
      </c>
      <c r="AM238" s="93">
        <v>1</v>
      </c>
    </row>
    <row r="239" spans="1:39" s="91" customFormat="1" ht="15.6">
      <c r="A239" s="87" t="s">
        <v>92</v>
      </c>
      <c r="B239" s="83" t="s">
        <v>93</v>
      </c>
      <c r="C239" s="100" t="s">
        <v>752</v>
      </c>
      <c r="D239" s="100" t="s">
        <v>956</v>
      </c>
      <c r="E239" s="100" t="s">
        <v>751</v>
      </c>
      <c r="F239" s="83" t="s">
        <v>29</v>
      </c>
      <c r="G239" s="89" t="s">
        <v>49</v>
      </c>
      <c r="H239" s="102" t="s">
        <v>36</v>
      </c>
      <c r="I239" s="108">
        <v>29.5</v>
      </c>
      <c r="J239" s="88" t="s">
        <v>91</v>
      </c>
      <c r="K239" s="38" t="s">
        <v>661</v>
      </c>
      <c r="L239" s="38" t="s">
        <v>34</v>
      </c>
      <c r="M239" s="90" t="s">
        <v>1</v>
      </c>
      <c r="N239" s="84">
        <v>165.87</v>
      </c>
      <c r="O239" s="84">
        <v>165.87</v>
      </c>
      <c r="P239" s="84">
        <v>209.51999999999998</v>
      </c>
      <c r="Q239" s="84">
        <v>174.6</v>
      </c>
      <c r="R239" s="84">
        <v>165.87</v>
      </c>
      <c r="S239" s="84">
        <v>200.79</v>
      </c>
      <c r="T239" s="84">
        <v>174.6</v>
      </c>
      <c r="U239" s="84">
        <v>218.25</v>
      </c>
      <c r="V239" s="84">
        <v>165.87</v>
      </c>
      <c r="W239" s="84">
        <v>157.13999999999999</v>
      </c>
      <c r="X239" s="84">
        <v>218.25</v>
      </c>
      <c r="Y239" s="84">
        <v>165.87</v>
      </c>
      <c r="Z239" s="38"/>
      <c r="AA239" s="37">
        <f t="shared" ref="AA239" si="317">$I239*N239</f>
        <v>4893.165</v>
      </c>
      <c r="AB239" s="37">
        <f t="shared" ref="AB239" si="318">$I239*O239</f>
        <v>4893.165</v>
      </c>
      <c r="AC239" s="37">
        <f t="shared" ref="AC239" si="319">$I239*P239</f>
        <v>6180.8399999999992</v>
      </c>
      <c r="AD239" s="37">
        <f t="shared" ref="AD239" si="320">$I239*Q239</f>
        <v>5150.7</v>
      </c>
      <c r="AE239" s="37">
        <f t="shared" ref="AE239" si="321">$I239*R239</f>
        <v>4893.165</v>
      </c>
      <c r="AF239" s="37">
        <f t="shared" ref="AF239" si="322">$I239*S239</f>
        <v>5923.3049999999994</v>
      </c>
      <c r="AG239" s="37">
        <f t="shared" ref="AG239" si="323">$I239*T239</f>
        <v>5150.7</v>
      </c>
      <c r="AH239" s="37">
        <f t="shared" ref="AH239" si="324">$I239*U239</f>
        <v>6438.375</v>
      </c>
      <c r="AI239" s="37">
        <f t="shared" ref="AI239" si="325">$I239*V239</f>
        <v>4893.165</v>
      </c>
      <c r="AJ239" s="37">
        <f t="shared" ref="AJ239" si="326">$I239*W239</f>
        <v>4635.6299999999992</v>
      </c>
      <c r="AK239" s="37">
        <f t="shared" ref="AK239" si="327">$I239*X239</f>
        <v>6438.375</v>
      </c>
      <c r="AL239" s="37">
        <f t="shared" ref="AL239" si="328">$I239*Y239</f>
        <v>4893.165</v>
      </c>
      <c r="AM239" s="93">
        <v>1</v>
      </c>
    </row>
    <row r="240" spans="1:39" s="91" customFormat="1" ht="15.6">
      <c r="A240" s="87" t="s">
        <v>92</v>
      </c>
      <c r="B240" s="83" t="s">
        <v>93</v>
      </c>
      <c r="C240" s="100" t="s">
        <v>1133</v>
      </c>
      <c r="D240" s="100" t="s">
        <v>1134</v>
      </c>
      <c r="E240" s="100" t="s">
        <v>1132</v>
      </c>
      <c r="F240" s="83" t="s">
        <v>29</v>
      </c>
      <c r="G240" s="89" t="s">
        <v>49</v>
      </c>
      <c r="H240" s="102" t="s">
        <v>36</v>
      </c>
      <c r="I240" s="108">
        <v>29.5</v>
      </c>
      <c r="J240" s="88" t="s">
        <v>91</v>
      </c>
      <c r="K240" s="38" t="s">
        <v>661</v>
      </c>
      <c r="L240" s="38" t="s">
        <v>34</v>
      </c>
      <c r="M240" s="90" t="s">
        <v>1</v>
      </c>
      <c r="N240" s="84"/>
      <c r="O240" s="84"/>
      <c r="P240" s="84"/>
      <c r="Q240" s="84"/>
      <c r="R240" s="84">
        <v>165.87</v>
      </c>
      <c r="S240" s="84"/>
      <c r="T240" s="84"/>
      <c r="U240" s="84"/>
      <c r="V240" s="84"/>
      <c r="W240" s="84"/>
      <c r="X240" s="84"/>
      <c r="Y240" s="84"/>
      <c r="Z240" s="38" t="s">
        <v>1135</v>
      </c>
      <c r="AA240" s="37">
        <f t="shared" si="305"/>
        <v>0</v>
      </c>
      <c r="AB240" s="37">
        <f t="shared" si="306"/>
        <v>0</v>
      </c>
      <c r="AC240" s="37">
        <f t="shared" si="307"/>
        <v>0</v>
      </c>
      <c r="AD240" s="37">
        <f t="shared" si="308"/>
        <v>0</v>
      </c>
      <c r="AE240" s="37">
        <f t="shared" si="309"/>
        <v>4893.165</v>
      </c>
      <c r="AF240" s="37">
        <f t="shared" si="310"/>
        <v>0</v>
      </c>
      <c r="AG240" s="37">
        <f t="shared" si="311"/>
        <v>0</v>
      </c>
      <c r="AH240" s="37">
        <f t="shared" si="312"/>
        <v>0</v>
      </c>
      <c r="AI240" s="37">
        <f t="shared" si="313"/>
        <v>0</v>
      </c>
      <c r="AJ240" s="37">
        <f t="shared" si="314"/>
        <v>0</v>
      </c>
      <c r="AK240" s="37">
        <f t="shared" si="315"/>
        <v>0</v>
      </c>
      <c r="AL240" s="37">
        <f t="shared" si="316"/>
        <v>0</v>
      </c>
      <c r="AM240" s="93">
        <v>1</v>
      </c>
    </row>
    <row r="241" spans="1:39" s="91" customFormat="1" ht="15.6">
      <c r="A241" s="87" t="s">
        <v>92</v>
      </c>
      <c r="B241" s="83" t="s">
        <v>93</v>
      </c>
      <c r="C241" s="100" t="s">
        <v>1100</v>
      </c>
      <c r="D241" s="100" t="s">
        <v>1099</v>
      </c>
      <c r="E241" s="100" t="s">
        <v>1097</v>
      </c>
      <c r="F241" s="83" t="s">
        <v>29</v>
      </c>
      <c r="G241" s="89" t="s">
        <v>30</v>
      </c>
      <c r="H241" s="102" t="s">
        <v>36</v>
      </c>
      <c r="I241" s="108">
        <v>29.5</v>
      </c>
      <c r="J241" s="88" t="s">
        <v>91</v>
      </c>
      <c r="K241" s="38" t="s">
        <v>661</v>
      </c>
      <c r="L241" s="38" t="s">
        <v>34</v>
      </c>
      <c r="M241" s="90" t="s">
        <v>1</v>
      </c>
      <c r="N241" s="84"/>
      <c r="O241" s="84"/>
      <c r="P241" s="84"/>
      <c r="Q241" s="84">
        <v>174.6</v>
      </c>
      <c r="R241" s="84">
        <v>165.87</v>
      </c>
      <c r="S241" s="84">
        <v>150</v>
      </c>
      <c r="T241" s="84"/>
      <c r="U241" s="84"/>
      <c r="V241" s="84"/>
      <c r="W241" s="84"/>
      <c r="X241" s="84"/>
      <c r="Y241" s="84"/>
      <c r="Z241" s="38" t="s">
        <v>1183</v>
      </c>
      <c r="AA241" s="37">
        <f t="shared" ref="AA241" si="329">$I241*N241</f>
        <v>0</v>
      </c>
      <c r="AB241" s="37">
        <f t="shared" ref="AB241" si="330">$I241*O241</f>
        <v>0</v>
      </c>
      <c r="AC241" s="37">
        <f t="shared" ref="AC241" si="331">$I241*P241</f>
        <v>0</v>
      </c>
      <c r="AD241" s="37">
        <f t="shared" ref="AD241" si="332">$I241*Q241</f>
        <v>5150.7</v>
      </c>
      <c r="AE241" s="37">
        <f t="shared" ref="AE241" si="333">$I241*R241</f>
        <v>4893.165</v>
      </c>
      <c r="AF241" s="37">
        <f t="shared" ref="AF241" si="334">$I241*S241</f>
        <v>4425</v>
      </c>
      <c r="AG241" s="37">
        <f t="shared" ref="AG241" si="335">$I241*T241</f>
        <v>0</v>
      </c>
      <c r="AH241" s="37">
        <f t="shared" ref="AH241" si="336">$I241*U241</f>
        <v>0</v>
      </c>
      <c r="AI241" s="37">
        <f t="shared" ref="AI241" si="337">$I241*V241</f>
        <v>0</v>
      </c>
      <c r="AJ241" s="37">
        <f t="shared" ref="AJ241" si="338">$I241*W241</f>
        <v>0</v>
      </c>
      <c r="AK241" s="37">
        <f t="shared" ref="AK241" si="339">$I241*X241</f>
        <v>0</v>
      </c>
      <c r="AL241" s="37">
        <f t="shared" ref="AL241" si="340">$I241*Y241</f>
        <v>0</v>
      </c>
      <c r="AM241" s="93">
        <v>1</v>
      </c>
    </row>
    <row r="242" spans="1:39" s="91" customFormat="1" ht="15.6">
      <c r="A242" s="87" t="s">
        <v>92</v>
      </c>
      <c r="B242" s="83" t="s">
        <v>93</v>
      </c>
      <c r="C242" s="100" t="s">
        <v>1216</v>
      </c>
      <c r="D242" s="100" t="s">
        <v>1215</v>
      </c>
      <c r="E242" s="100" t="s">
        <v>1214</v>
      </c>
      <c r="F242" s="83" t="s">
        <v>29</v>
      </c>
      <c r="G242" s="89" t="s">
        <v>49</v>
      </c>
      <c r="H242" s="102" t="s">
        <v>36</v>
      </c>
      <c r="I242" s="108">
        <v>29.5</v>
      </c>
      <c r="J242" s="88" t="s">
        <v>91</v>
      </c>
      <c r="K242" s="38" t="s">
        <v>661</v>
      </c>
      <c r="L242" s="38" t="s">
        <v>34</v>
      </c>
      <c r="M242" s="90" t="s">
        <v>1</v>
      </c>
      <c r="N242" s="84"/>
      <c r="O242" s="84"/>
      <c r="P242" s="84"/>
      <c r="Q242" s="84"/>
      <c r="R242" s="84"/>
      <c r="S242" s="84">
        <v>150</v>
      </c>
      <c r="T242" s="84">
        <v>174.6</v>
      </c>
      <c r="U242" s="84">
        <v>218.25</v>
      </c>
      <c r="V242" s="84">
        <v>165.87</v>
      </c>
      <c r="W242" s="84">
        <v>157.13999999999999</v>
      </c>
      <c r="X242" s="84">
        <v>218.25</v>
      </c>
      <c r="Y242" s="84">
        <v>165.87</v>
      </c>
      <c r="Z242" s="38"/>
      <c r="AA242" s="37">
        <f t="shared" si="305"/>
        <v>0</v>
      </c>
      <c r="AB242" s="37">
        <f t="shared" si="306"/>
        <v>0</v>
      </c>
      <c r="AC242" s="37">
        <f t="shared" si="307"/>
        <v>0</v>
      </c>
      <c r="AD242" s="37">
        <f t="shared" si="308"/>
        <v>0</v>
      </c>
      <c r="AE242" s="37">
        <f t="shared" si="309"/>
        <v>0</v>
      </c>
      <c r="AF242" s="37">
        <f t="shared" si="310"/>
        <v>4425</v>
      </c>
      <c r="AG242" s="37">
        <f t="shared" si="311"/>
        <v>5150.7</v>
      </c>
      <c r="AH242" s="37">
        <f t="shared" si="312"/>
        <v>6438.375</v>
      </c>
      <c r="AI242" s="37">
        <f t="shared" si="313"/>
        <v>4893.165</v>
      </c>
      <c r="AJ242" s="37">
        <f t="shared" si="314"/>
        <v>4635.6299999999992</v>
      </c>
      <c r="AK242" s="37">
        <f t="shared" si="315"/>
        <v>6438.375</v>
      </c>
      <c r="AL242" s="37">
        <f t="shared" si="316"/>
        <v>4893.165</v>
      </c>
      <c r="AM242" s="93">
        <v>1</v>
      </c>
    </row>
    <row r="243" spans="1:39" s="91" customFormat="1" ht="15.6">
      <c r="A243" s="87" t="s">
        <v>92</v>
      </c>
      <c r="B243" s="83" t="s">
        <v>93</v>
      </c>
      <c r="C243" s="100" t="s">
        <v>1102</v>
      </c>
      <c r="D243" s="100" t="s">
        <v>1101</v>
      </c>
      <c r="E243" s="100" t="s">
        <v>1098</v>
      </c>
      <c r="F243" s="83" t="s">
        <v>29</v>
      </c>
      <c r="G243" s="89" t="s">
        <v>39</v>
      </c>
      <c r="H243" s="102" t="s">
        <v>60</v>
      </c>
      <c r="I243" s="108">
        <v>19</v>
      </c>
      <c r="J243" s="88" t="s">
        <v>91</v>
      </c>
      <c r="K243" s="38" t="s">
        <v>661</v>
      </c>
      <c r="L243" s="38" t="s">
        <v>34</v>
      </c>
      <c r="M243" s="90" t="s">
        <v>1</v>
      </c>
      <c r="N243" s="84"/>
      <c r="O243" s="84"/>
      <c r="P243" s="84"/>
      <c r="Q243" s="84">
        <v>174.6</v>
      </c>
      <c r="R243" s="84">
        <v>165.87</v>
      </c>
      <c r="S243" s="84">
        <v>200.79</v>
      </c>
      <c r="T243" s="84">
        <v>174.6</v>
      </c>
      <c r="U243" s="84">
        <v>218.25</v>
      </c>
      <c r="V243" s="84">
        <v>165.87</v>
      </c>
      <c r="W243" s="84">
        <v>157.13999999999999</v>
      </c>
      <c r="X243" s="84">
        <v>218.25</v>
      </c>
      <c r="Y243" s="84">
        <v>165.87</v>
      </c>
      <c r="Z243" s="38"/>
      <c r="AA243" s="37">
        <f t="shared" si="305"/>
        <v>0</v>
      </c>
      <c r="AB243" s="37">
        <f t="shared" si="306"/>
        <v>0</v>
      </c>
      <c r="AC243" s="37">
        <f t="shared" si="307"/>
        <v>0</v>
      </c>
      <c r="AD243" s="37">
        <f t="shared" si="308"/>
        <v>3317.4</v>
      </c>
      <c r="AE243" s="37">
        <f t="shared" si="309"/>
        <v>3151.53</v>
      </c>
      <c r="AF243" s="37">
        <f t="shared" si="310"/>
        <v>3815.0099999999998</v>
      </c>
      <c r="AG243" s="37">
        <f t="shared" si="311"/>
        <v>3317.4</v>
      </c>
      <c r="AH243" s="37">
        <f t="shared" si="312"/>
        <v>4146.75</v>
      </c>
      <c r="AI243" s="37">
        <f t="shared" si="313"/>
        <v>3151.53</v>
      </c>
      <c r="AJ243" s="37">
        <f t="shared" si="314"/>
        <v>2985.66</v>
      </c>
      <c r="AK243" s="37">
        <f t="shared" si="315"/>
        <v>4146.75</v>
      </c>
      <c r="AL243" s="37">
        <f t="shared" si="316"/>
        <v>3151.53</v>
      </c>
      <c r="AM243" s="93">
        <v>1</v>
      </c>
    </row>
    <row r="244" spans="1:39" s="91" customFormat="1" ht="15.6">
      <c r="A244" s="87" t="s">
        <v>92</v>
      </c>
      <c r="B244" s="83" t="s">
        <v>93</v>
      </c>
      <c r="C244" s="100" t="s">
        <v>704</v>
      </c>
      <c r="D244" s="100" t="s">
        <v>957</v>
      </c>
      <c r="E244" s="100" t="s">
        <v>705</v>
      </c>
      <c r="F244" s="83" t="s">
        <v>29</v>
      </c>
      <c r="G244" s="89" t="s">
        <v>49</v>
      </c>
      <c r="H244" s="83" t="s">
        <v>31</v>
      </c>
      <c r="I244" s="108">
        <v>41</v>
      </c>
      <c r="J244" s="88" t="s">
        <v>91</v>
      </c>
      <c r="K244" s="38" t="s">
        <v>661</v>
      </c>
      <c r="L244" s="38" t="s">
        <v>34</v>
      </c>
      <c r="M244" s="90" t="s">
        <v>1</v>
      </c>
      <c r="N244" s="84">
        <v>165.87</v>
      </c>
      <c r="O244" s="84">
        <v>165.87</v>
      </c>
      <c r="P244" s="84">
        <v>209.51999999999998</v>
      </c>
      <c r="Q244" s="84">
        <v>174.6</v>
      </c>
      <c r="R244" s="84">
        <v>165.87</v>
      </c>
      <c r="S244" s="84">
        <v>200.79</v>
      </c>
      <c r="T244" s="84">
        <v>174.6</v>
      </c>
      <c r="U244" s="84">
        <v>218.25</v>
      </c>
      <c r="V244" s="84">
        <v>165.87</v>
      </c>
      <c r="W244" s="84">
        <v>157.13999999999999</v>
      </c>
      <c r="X244" s="84">
        <v>218.25</v>
      </c>
      <c r="Y244" s="84">
        <v>165.87</v>
      </c>
      <c r="Z244" s="38"/>
      <c r="AA244" s="37">
        <f t="shared" si="305"/>
        <v>6800.67</v>
      </c>
      <c r="AB244" s="37">
        <f t="shared" si="306"/>
        <v>6800.67</v>
      </c>
      <c r="AC244" s="37">
        <f t="shared" si="307"/>
        <v>8590.32</v>
      </c>
      <c r="AD244" s="37">
        <f t="shared" si="308"/>
        <v>7158.5999999999995</v>
      </c>
      <c r="AE244" s="37">
        <f t="shared" si="309"/>
        <v>6800.67</v>
      </c>
      <c r="AF244" s="37">
        <f t="shared" si="310"/>
        <v>8232.39</v>
      </c>
      <c r="AG244" s="37">
        <f t="shared" si="311"/>
        <v>7158.5999999999995</v>
      </c>
      <c r="AH244" s="37">
        <f t="shared" si="312"/>
        <v>8948.25</v>
      </c>
      <c r="AI244" s="37">
        <f t="shared" si="313"/>
        <v>6800.67</v>
      </c>
      <c r="AJ244" s="37">
        <f t="shared" si="314"/>
        <v>6442.74</v>
      </c>
      <c r="AK244" s="37">
        <f t="shared" si="315"/>
        <v>8948.25</v>
      </c>
      <c r="AL244" s="37">
        <f t="shared" si="316"/>
        <v>6800.67</v>
      </c>
      <c r="AM244" s="93">
        <v>1</v>
      </c>
    </row>
    <row r="245" spans="1:39" s="91" customFormat="1" ht="15.6">
      <c r="A245" s="87" t="s">
        <v>92</v>
      </c>
      <c r="B245" s="83" t="s">
        <v>93</v>
      </c>
      <c r="C245" s="100" t="s">
        <v>98</v>
      </c>
      <c r="D245" s="100" t="s">
        <v>958</v>
      </c>
      <c r="E245" s="100" t="s">
        <v>99</v>
      </c>
      <c r="F245" s="83" t="s">
        <v>29</v>
      </c>
      <c r="G245" s="83" t="s">
        <v>39</v>
      </c>
      <c r="H245" s="83" t="s">
        <v>60</v>
      </c>
      <c r="I245" s="108">
        <v>23.5</v>
      </c>
      <c r="J245" s="88" t="s">
        <v>91</v>
      </c>
      <c r="K245" s="38" t="s">
        <v>661</v>
      </c>
      <c r="L245" s="38" t="s">
        <v>34</v>
      </c>
      <c r="M245" s="90" t="s">
        <v>1</v>
      </c>
      <c r="N245" s="84">
        <v>165.87</v>
      </c>
      <c r="O245" s="84">
        <v>165.87</v>
      </c>
      <c r="P245" s="84">
        <v>209.51999999999998</v>
      </c>
      <c r="Q245" s="84"/>
      <c r="R245" s="84"/>
      <c r="S245" s="84"/>
      <c r="T245" s="84"/>
      <c r="U245" s="84"/>
      <c r="V245" s="84"/>
      <c r="W245" s="84"/>
      <c r="X245" s="84"/>
      <c r="Y245" s="84"/>
      <c r="Z245" s="38" t="s">
        <v>1108</v>
      </c>
      <c r="AA245" s="37">
        <f t="shared" si="305"/>
        <v>3897.9450000000002</v>
      </c>
      <c r="AB245" s="37">
        <f t="shared" si="306"/>
        <v>3897.9450000000002</v>
      </c>
      <c r="AC245" s="37">
        <f t="shared" si="307"/>
        <v>4923.7199999999993</v>
      </c>
      <c r="AD245" s="37">
        <f t="shared" si="308"/>
        <v>0</v>
      </c>
      <c r="AE245" s="37">
        <f t="shared" si="309"/>
        <v>0</v>
      </c>
      <c r="AF245" s="37">
        <f t="shared" si="310"/>
        <v>0</v>
      </c>
      <c r="AG245" s="37">
        <f t="shared" si="311"/>
        <v>0</v>
      </c>
      <c r="AH245" s="37">
        <f t="shared" si="312"/>
        <v>0</v>
      </c>
      <c r="AI245" s="37">
        <f t="shared" si="313"/>
        <v>0</v>
      </c>
      <c r="AJ245" s="37">
        <f t="shared" si="314"/>
        <v>0</v>
      </c>
      <c r="AK245" s="37">
        <f t="shared" si="315"/>
        <v>0</v>
      </c>
      <c r="AL245" s="37">
        <f t="shared" si="316"/>
        <v>0</v>
      </c>
      <c r="AM245" s="93">
        <v>1</v>
      </c>
    </row>
    <row r="246" spans="1:39" s="91" customFormat="1" ht="15.6">
      <c r="A246" s="87" t="s">
        <v>92</v>
      </c>
      <c r="B246" s="83" t="s">
        <v>93</v>
      </c>
      <c r="C246" s="100" t="s">
        <v>1192</v>
      </c>
      <c r="D246" s="100" t="s">
        <v>1191</v>
      </c>
      <c r="E246" s="100" t="s">
        <v>1185</v>
      </c>
      <c r="F246" s="83" t="s">
        <v>29</v>
      </c>
      <c r="G246" s="83" t="s">
        <v>1193</v>
      </c>
      <c r="H246" s="83" t="s">
        <v>36</v>
      </c>
      <c r="I246" s="108">
        <v>27.5</v>
      </c>
      <c r="J246" s="88" t="s">
        <v>91</v>
      </c>
      <c r="K246" s="38" t="s">
        <v>661</v>
      </c>
      <c r="L246" s="38" t="s">
        <v>34</v>
      </c>
      <c r="M246" s="90" t="s">
        <v>1</v>
      </c>
      <c r="N246" s="84"/>
      <c r="O246" s="84"/>
      <c r="P246" s="84"/>
      <c r="Q246" s="84"/>
      <c r="R246" s="84"/>
      <c r="S246" s="84">
        <v>209.51999999999998</v>
      </c>
      <c r="T246" s="84">
        <v>174.6</v>
      </c>
      <c r="U246" s="84">
        <v>218.25</v>
      </c>
      <c r="V246" s="84">
        <v>165.87</v>
      </c>
      <c r="W246" s="84">
        <v>157.13999999999999</v>
      </c>
      <c r="X246" s="84">
        <v>218.25</v>
      </c>
      <c r="Y246" s="84">
        <v>165.87</v>
      </c>
      <c r="Z246" s="38"/>
      <c r="AA246" s="37">
        <f t="shared" ref="AA246" si="341">$I246*N246</f>
        <v>0</v>
      </c>
      <c r="AB246" s="37">
        <f t="shared" ref="AB246" si="342">$I246*O246</f>
        <v>0</v>
      </c>
      <c r="AC246" s="37">
        <f t="shared" ref="AC246" si="343">$I246*P246</f>
        <v>0</v>
      </c>
      <c r="AD246" s="37">
        <f t="shared" ref="AD246" si="344">$I246*Q246</f>
        <v>0</v>
      </c>
      <c r="AE246" s="37">
        <f t="shared" ref="AE246" si="345">$I246*R246</f>
        <v>0</v>
      </c>
      <c r="AF246" s="37">
        <f t="shared" ref="AF246" si="346">$I246*S246</f>
        <v>5761.7999999999993</v>
      </c>
      <c r="AG246" s="37">
        <f t="shared" ref="AG246" si="347">$I246*T246</f>
        <v>4801.5</v>
      </c>
      <c r="AH246" s="37">
        <f t="shared" ref="AH246" si="348">$I246*U246</f>
        <v>6001.875</v>
      </c>
      <c r="AI246" s="37">
        <f t="shared" ref="AI246" si="349">$I246*V246</f>
        <v>4561.4250000000002</v>
      </c>
      <c r="AJ246" s="37">
        <f t="shared" ref="AJ246" si="350">$I246*W246</f>
        <v>4321.3499999999995</v>
      </c>
      <c r="AK246" s="37">
        <f t="shared" ref="AK246" si="351">$I246*X246</f>
        <v>6001.875</v>
      </c>
      <c r="AL246" s="37">
        <f t="shared" ref="AL246" si="352">$I246*Y246</f>
        <v>4561.4250000000002</v>
      </c>
      <c r="AM246" s="93">
        <v>1</v>
      </c>
    </row>
    <row r="247" spans="1:39" s="91" customFormat="1" ht="15.6">
      <c r="A247" s="87" t="s">
        <v>92</v>
      </c>
      <c r="B247" s="83" t="s">
        <v>93</v>
      </c>
      <c r="C247" s="100" t="s">
        <v>632</v>
      </c>
      <c r="D247" s="100" t="s">
        <v>959</v>
      </c>
      <c r="E247" s="100" t="s">
        <v>633</v>
      </c>
      <c r="F247" s="83" t="s">
        <v>29</v>
      </c>
      <c r="G247" s="83" t="s">
        <v>30</v>
      </c>
      <c r="H247" s="83" t="s">
        <v>60</v>
      </c>
      <c r="I247" s="108">
        <v>19</v>
      </c>
      <c r="J247" s="88" t="s">
        <v>91</v>
      </c>
      <c r="K247" s="38" t="s">
        <v>661</v>
      </c>
      <c r="L247" s="38" t="s">
        <v>34</v>
      </c>
      <c r="M247" s="90" t="s">
        <v>1</v>
      </c>
      <c r="N247" s="84">
        <v>165.87</v>
      </c>
      <c r="O247" s="84">
        <v>165.87</v>
      </c>
      <c r="P247" s="84">
        <v>209.51999999999998</v>
      </c>
      <c r="Q247" s="84">
        <v>165.87</v>
      </c>
      <c r="R247" s="84">
        <v>165.87</v>
      </c>
      <c r="S247" s="84">
        <v>209.51999999999998</v>
      </c>
      <c r="T247" s="84">
        <v>174.6</v>
      </c>
      <c r="U247" s="84">
        <v>218.25</v>
      </c>
      <c r="V247" s="84">
        <v>165.87</v>
      </c>
      <c r="W247" s="84">
        <v>157.13999999999999</v>
      </c>
      <c r="X247" s="84">
        <v>218.25</v>
      </c>
      <c r="Y247" s="84">
        <v>165.87</v>
      </c>
      <c r="Z247" s="38"/>
      <c r="AA247" s="37">
        <f t="shared" si="305"/>
        <v>3151.53</v>
      </c>
      <c r="AB247" s="37">
        <f t="shared" si="306"/>
        <v>3151.53</v>
      </c>
      <c r="AC247" s="37">
        <f t="shared" si="307"/>
        <v>3980.8799999999997</v>
      </c>
      <c r="AD247" s="37">
        <f t="shared" si="308"/>
        <v>3151.53</v>
      </c>
      <c r="AE247" s="37">
        <f t="shared" si="309"/>
        <v>3151.53</v>
      </c>
      <c r="AF247" s="37">
        <f t="shared" si="310"/>
        <v>3980.8799999999997</v>
      </c>
      <c r="AG247" s="37">
        <f t="shared" si="311"/>
        <v>3317.4</v>
      </c>
      <c r="AH247" s="37">
        <f t="shared" si="312"/>
        <v>4146.75</v>
      </c>
      <c r="AI247" s="37">
        <f t="shared" si="313"/>
        <v>3151.53</v>
      </c>
      <c r="AJ247" s="37">
        <f t="shared" si="314"/>
        <v>2985.66</v>
      </c>
      <c r="AK247" s="37">
        <f t="shared" si="315"/>
        <v>4146.75</v>
      </c>
      <c r="AL247" s="37">
        <f t="shared" si="316"/>
        <v>3151.53</v>
      </c>
      <c r="AM247" s="93">
        <v>1</v>
      </c>
    </row>
    <row r="248" spans="1:39" s="91" customFormat="1" ht="15.6">
      <c r="A248" s="87" t="s">
        <v>92</v>
      </c>
      <c r="B248" s="83" t="s">
        <v>93</v>
      </c>
      <c r="C248" s="100" t="s">
        <v>747</v>
      </c>
      <c r="D248" s="100" t="s">
        <v>960</v>
      </c>
      <c r="E248" s="100" t="s">
        <v>748</v>
      </c>
      <c r="F248" s="83" t="s">
        <v>29</v>
      </c>
      <c r="G248" s="83" t="s">
        <v>49</v>
      </c>
      <c r="H248" s="83" t="s">
        <v>60</v>
      </c>
      <c r="I248" s="108">
        <v>22.5</v>
      </c>
      <c r="J248" s="88" t="s">
        <v>91</v>
      </c>
      <c r="K248" s="38" t="s">
        <v>661</v>
      </c>
      <c r="L248" s="88" t="s">
        <v>34</v>
      </c>
      <c r="M248" s="130" t="s">
        <v>3</v>
      </c>
      <c r="N248" s="84">
        <v>165.87</v>
      </c>
      <c r="O248" s="84">
        <v>165.87</v>
      </c>
      <c r="P248" s="84">
        <v>209.51999999999998</v>
      </c>
      <c r="Q248" s="84">
        <v>165.87</v>
      </c>
      <c r="R248" s="84">
        <v>165.87</v>
      </c>
      <c r="S248" s="84">
        <v>209.51999999999998</v>
      </c>
      <c r="T248" s="84">
        <v>174.6</v>
      </c>
      <c r="U248" s="84">
        <v>218.25</v>
      </c>
      <c r="V248" s="84">
        <v>165.87</v>
      </c>
      <c r="W248" s="84">
        <v>157.13999999999999</v>
      </c>
      <c r="X248" s="84">
        <v>218.25</v>
      </c>
      <c r="Y248" s="84">
        <v>165.87</v>
      </c>
      <c r="Z248" s="38"/>
      <c r="AA248" s="37">
        <f t="shared" ref="AA248" si="353">$I248*N248</f>
        <v>3732.0750000000003</v>
      </c>
      <c r="AB248" s="37">
        <f t="shared" ref="AB248" si="354">$I248*O248</f>
        <v>3732.0750000000003</v>
      </c>
      <c r="AC248" s="37">
        <f t="shared" ref="AC248" si="355">$I248*P248</f>
        <v>4714.2</v>
      </c>
      <c r="AD248" s="37">
        <f t="shared" ref="AD248" si="356">$I248*Q248</f>
        <v>3732.0750000000003</v>
      </c>
      <c r="AE248" s="37">
        <f t="shared" ref="AE248" si="357">$I248*R248</f>
        <v>3732.0750000000003</v>
      </c>
      <c r="AF248" s="37">
        <f t="shared" ref="AF248" si="358">$I248*S248</f>
        <v>4714.2</v>
      </c>
      <c r="AG248" s="37">
        <f t="shared" ref="AG248" si="359">$I248*T248</f>
        <v>3928.5</v>
      </c>
      <c r="AH248" s="37">
        <f t="shared" ref="AH248" si="360">$I248*U248</f>
        <v>4910.625</v>
      </c>
      <c r="AI248" s="37">
        <f t="shared" ref="AI248" si="361">$I248*V248</f>
        <v>3732.0750000000003</v>
      </c>
      <c r="AJ248" s="37">
        <f t="shared" ref="AJ248" si="362">$I248*W248</f>
        <v>3535.6499999999996</v>
      </c>
      <c r="AK248" s="37">
        <f t="shared" ref="AK248" si="363">$I248*X248</f>
        <v>4910.625</v>
      </c>
      <c r="AL248" s="37">
        <f t="shared" ref="AL248" si="364">$I248*Y248</f>
        <v>3732.0750000000003</v>
      </c>
      <c r="AM248" s="93">
        <v>1</v>
      </c>
    </row>
    <row r="249" spans="1:39" s="91" customFormat="1" ht="15.6">
      <c r="A249" s="87" t="s">
        <v>92</v>
      </c>
      <c r="B249" s="83" t="s">
        <v>93</v>
      </c>
      <c r="C249" s="100" t="s">
        <v>1138</v>
      </c>
      <c r="D249" s="100" t="s">
        <v>1137</v>
      </c>
      <c r="E249" s="100" t="s">
        <v>1136</v>
      </c>
      <c r="F249" s="83" t="s">
        <v>29</v>
      </c>
      <c r="G249" s="83" t="s">
        <v>49</v>
      </c>
      <c r="H249" s="83" t="s">
        <v>60</v>
      </c>
      <c r="I249" s="108">
        <v>19</v>
      </c>
      <c r="J249" s="88" t="s">
        <v>91</v>
      </c>
      <c r="K249" s="38" t="s">
        <v>661</v>
      </c>
      <c r="L249" s="38" t="s">
        <v>34</v>
      </c>
      <c r="M249" s="90" t="s">
        <v>1</v>
      </c>
      <c r="N249" s="84"/>
      <c r="O249" s="84"/>
      <c r="P249" s="84"/>
      <c r="Q249" s="84"/>
      <c r="R249" s="84">
        <v>165.87</v>
      </c>
      <c r="S249" s="84">
        <v>209.51999999999998</v>
      </c>
      <c r="T249" s="84">
        <v>174.6</v>
      </c>
      <c r="U249" s="84">
        <v>218.25</v>
      </c>
      <c r="V249" s="84">
        <v>165.87</v>
      </c>
      <c r="W249" s="84">
        <v>157.13999999999999</v>
      </c>
      <c r="X249" s="84">
        <v>218.25</v>
      </c>
      <c r="Y249" s="84">
        <v>165.87</v>
      </c>
      <c r="Z249" s="38"/>
      <c r="AA249" s="37">
        <f t="shared" si="305"/>
        <v>0</v>
      </c>
      <c r="AB249" s="37">
        <f t="shared" si="306"/>
        <v>0</v>
      </c>
      <c r="AC249" s="37">
        <f t="shared" si="307"/>
        <v>0</v>
      </c>
      <c r="AD249" s="37">
        <f t="shared" si="308"/>
        <v>0</v>
      </c>
      <c r="AE249" s="37">
        <f t="shared" si="309"/>
        <v>3151.53</v>
      </c>
      <c r="AF249" s="37">
        <f t="shared" si="310"/>
        <v>3980.8799999999997</v>
      </c>
      <c r="AG249" s="37">
        <f t="shared" si="311"/>
        <v>3317.4</v>
      </c>
      <c r="AH249" s="37">
        <f t="shared" si="312"/>
        <v>4146.75</v>
      </c>
      <c r="AI249" s="37">
        <f t="shared" si="313"/>
        <v>3151.53</v>
      </c>
      <c r="AJ249" s="37">
        <f t="shared" si="314"/>
        <v>2985.66</v>
      </c>
      <c r="AK249" s="37">
        <f t="shared" si="315"/>
        <v>4146.75</v>
      </c>
      <c r="AL249" s="37">
        <f t="shared" si="316"/>
        <v>3151.53</v>
      </c>
      <c r="AM249" s="93">
        <v>1</v>
      </c>
    </row>
    <row r="250" spans="1:39" s="91" customFormat="1" ht="15.6">
      <c r="A250" s="87" t="s">
        <v>92</v>
      </c>
      <c r="B250" s="83" t="s">
        <v>93</v>
      </c>
      <c r="C250" s="100" t="s">
        <v>102</v>
      </c>
      <c r="D250" s="100" t="s">
        <v>961</v>
      </c>
      <c r="E250" s="100" t="s">
        <v>103</v>
      </c>
      <c r="F250" s="83" t="s">
        <v>29</v>
      </c>
      <c r="G250" s="83" t="s">
        <v>39</v>
      </c>
      <c r="H250" s="83" t="s">
        <v>44</v>
      </c>
      <c r="I250" s="108">
        <v>17</v>
      </c>
      <c r="J250" s="88" t="s">
        <v>91</v>
      </c>
      <c r="K250" s="38" t="s">
        <v>661</v>
      </c>
      <c r="L250" s="38" t="s">
        <v>34</v>
      </c>
      <c r="M250" s="90" t="s">
        <v>1</v>
      </c>
      <c r="N250" s="84">
        <v>165.87</v>
      </c>
      <c r="O250" s="84">
        <v>165.87</v>
      </c>
      <c r="P250" s="84">
        <v>209.51999999999998</v>
      </c>
      <c r="Q250" s="84">
        <v>174.6</v>
      </c>
      <c r="R250" s="84">
        <v>165.87</v>
      </c>
      <c r="S250" s="84">
        <v>200.79</v>
      </c>
      <c r="T250" s="84">
        <v>174.6</v>
      </c>
      <c r="U250" s="84">
        <v>218.25</v>
      </c>
      <c r="V250" s="84">
        <v>165.87</v>
      </c>
      <c r="W250" s="84">
        <v>157.13999999999999</v>
      </c>
      <c r="X250" s="84">
        <v>218.25</v>
      </c>
      <c r="Y250" s="84">
        <v>165.87</v>
      </c>
      <c r="Z250" s="38"/>
      <c r="AA250" s="37">
        <f t="shared" si="305"/>
        <v>2819.79</v>
      </c>
      <c r="AB250" s="37">
        <f t="shared" si="306"/>
        <v>2819.79</v>
      </c>
      <c r="AC250" s="37">
        <f t="shared" si="307"/>
        <v>3561.8399999999997</v>
      </c>
      <c r="AD250" s="37">
        <f t="shared" si="308"/>
        <v>2968.2</v>
      </c>
      <c r="AE250" s="37">
        <f t="shared" si="309"/>
        <v>2819.79</v>
      </c>
      <c r="AF250" s="37">
        <f t="shared" si="310"/>
        <v>3413.43</v>
      </c>
      <c r="AG250" s="37">
        <f t="shared" si="311"/>
        <v>2968.2</v>
      </c>
      <c r="AH250" s="37">
        <f t="shared" si="312"/>
        <v>3710.25</v>
      </c>
      <c r="AI250" s="37">
        <f t="shared" si="313"/>
        <v>2819.79</v>
      </c>
      <c r="AJ250" s="37">
        <f t="shared" si="314"/>
        <v>2671.3799999999997</v>
      </c>
      <c r="AK250" s="37">
        <f t="shared" si="315"/>
        <v>3710.25</v>
      </c>
      <c r="AL250" s="37">
        <f t="shared" si="316"/>
        <v>2819.79</v>
      </c>
      <c r="AM250" s="93">
        <v>1</v>
      </c>
    </row>
    <row r="251" spans="1:39" s="91" customFormat="1" ht="15.6">
      <c r="A251" s="87" t="s">
        <v>92</v>
      </c>
      <c r="B251" s="83" t="s">
        <v>93</v>
      </c>
      <c r="C251" s="100" t="s">
        <v>104</v>
      </c>
      <c r="D251" s="100" t="s">
        <v>962</v>
      </c>
      <c r="E251" s="100" t="s">
        <v>105</v>
      </c>
      <c r="F251" s="83" t="s">
        <v>29</v>
      </c>
      <c r="G251" s="83" t="s">
        <v>35</v>
      </c>
      <c r="H251" s="83" t="s">
        <v>31</v>
      </c>
      <c r="I251" s="108">
        <v>30.5</v>
      </c>
      <c r="J251" s="88" t="s">
        <v>91</v>
      </c>
      <c r="K251" s="38" t="s">
        <v>661</v>
      </c>
      <c r="L251" s="38" t="s">
        <v>34</v>
      </c>
      <c r="M251" s="90" t="s">
        <v>1</v>
      </c>
      <c r="N251" s="36">
        <v>174.6</v>
      </c>
      <c r="O251" s="36">
        <v>165.87</v>
      </c>
      <c r="P251" s="36">
        <v>200.79</v>
      </c>
      <c r="Q251" s="36">
        <v>174.6</v>
      </c>
      <c r="R251" s="36">
        <v>165.87</v>
      </c>
      <c r="S251" s="36">
        <v>209.51999999999998</v>
      </c>
      <c r="T251" s="36">
        <v>174.6</v>
      </c>
      <c r="U251" s="36">
        <v>218.25</v>
      </c>
      <c r="V251" s="36">
        <v>165.87</v>
      </c>
      <c r="W251" s="36">
        <v>157.13999999999999</v>
      </c>
      <c r="X251" s="36">
        <v>209.51999999999998</v>
      </c>
      <c r="Y251" s="36">
        <v>165.87</v>
      </c>
      <c r="Z251" s="38"/>
      <c r="AA251" s="37">
        <f t="shared" si="305"/>
        <v>5325.3</v>
      </c>
      <c r="AB251" s="37">
        <f t="shared" si="306"/>
        <v>5059.0349999999999</v>
      </c>
      <c r="AC251" s="37">
        <f t="shared" si="307"/>
        <v>6124.0949999999993</v>
      </c>
      <c r="AD251" s="37">
        <f t="shared" si="308"/>
        <v>5325.3</v>
      </c>
      <c r="AE251" s="37">
        <f t="shared" si="309"/>
        <v>5059.0349999999999</v>
      </c>
      <c r="AF251" s="37">
        <f t="shared" si="310"/>
        <v>6390.36</v>
      </c>
      <c r="AG251" s="37">
        <f t="shared" si="311"/>
        <v>5325.3</v>
      </c>
      <c r="AH251" s="37">
        <f t="shared" si="312"/>
        <v>6656.625</v>
      </c>
      <c r="AI251" s="37">
        <f t="shared" si="313"/>
        <v>5059.0349999999999</v>
      </c>
      <c r="AJ251" s="37">
        <f t="shared" si="314"/>
        <v>4792.7699999999995</v>
      </c>
      <c r="AK251" s="37">
        <f t="shared" si="315"/>
        <v>6390.36</v>
      </c>
      <c r="AL251" s="37">
        <f t="shared" si="316"/>
        <v>5059.0349999999999</v>
      </c>
      <c r="AM251" s="93">
        <v>1</v>
      </c>
    </row>
    <row r="252" spans="1:39" s="91" customFormat="1" ht="15.6">
      <c r="A252" s="87" t="s">
        <v>92</v>
      </c>
      <c r="B252" s="83" t="s">
        <v>93</v>
      </c>
      <c r="C252" s="100" t="s">
        <v>1201</v>
      </c>
      <c r="D252" s="100" t="s">
        <v>1200</v>
      </c>
      <c r="E252" s="100" t="s">
        <v>1202</v>
      </c>
      <c r="F252" s="83" t="s">
        <v>29</v>
      </c>
      <c r="G252" s="83" t="s">
        <v>39</v>
      </c>
      <c r="H252" s="83" t="s">
        <v>31</v>
      </c>
      <c r="I252" s="108">
        <v>30.5</v>
      </c>
      <c r="J252" s="88" t="s">
        <v>91</v>
      </c>
      <c r="K252" s="38" t="s">
        <v>661</v>
      </c>
      <c r="L252" s="38" t="s">
        <v>34</v>
      </c>
      <c r="M252" s="90" t="s">
        <v>1</v>
      </c>
      <c r="N252" s="36"/>
      <c r="O252" s="36">
        <v>165.87</v>
      </c>
      <c r="P252" s="36">
        <v>200.79</v>
      </c>
      <c r="Q252" s="36">
        <v>174.6</v>
      </c>
      <c r="R252" s="36">
        <v>165.87</v>
      </c>
      <c r="S252" s="36">
        <v>209.51999999999998</v>
      </c>
      <c r="T252" s="36">
        <v>174.6</v>
      </c>
      <c r="U252" s="36">
        <v>218.25</v>
      </c>
      <c r="V252" s="36">
        <v>165.87</v>
      </c>
      <c r="W252" s="36">
        <v>157.13999999999999</v>
      </c>
      <c r="X252" s="36">
        <v>209.51999999999998</v>
      </c>
      <c r="Y252" s="36">
        <v>165.87</v>
      </c>
      <c r="Z252" s="38"/>
      <c r="AA252" s="37">
        <f t="shared" si="305"/>
        <v>0</v>
      </c>
      <c r="AB252" s="37">
        <f t="shared" si="306"/>
        <v>5059.0349999999999</v>
      </c>
      <c r="AC252" s="37">
        <f t="shared" si="307"/>
        <v>6124.0949999999993</v>
      </c>
      <c r="AD252" s="37">
        <f t="shared" si="308"/>
        <v>5325.3</v>
      </c>
      <c r="AE252" s="37">
        <f t="shared" si="309"/>
        <v>5059.0349999999999</v>
      </c>
      <c r="AF252" s="37">
        <f t="shared" si="310"/>
        <v>6390.36</v>
      </c>
      <c r="AG252" s="37">
        <f t="shared" si="311"/>
        <v>5325.3</v>
      </c>
      <c r="AH252" s="37">
        <f t="shared" si="312"/>
        <v>6656.625</v>
      </c>
      <c r="AI252" s="37">
        <f t="shared" si="313"/>
        <v>5059.0349999999999</v>
      </c>
      <c r="AJ252" s="37">
        <f t="shared" si="314"/>
        <v>4792.7699999999995</v>
      </c>
      <c r="AK252" s="37">
        <f t="shared" si="315"/>
        <v>6390.36</v>
      </c>
      <c r="AL252" s="37">
        <f t="shared" si="316"/>
        <v>5059.0349999999999</v>
      </c>
      <c r="AM252" s="93">
        <v>1</v>
      </c>
    </row>
    <row r="253" spans="1:39" s="91" customFormat="1" ht="15.6">
      <c r="A253" s="87" t="s">
        <v>92</v>
      </c>
      <c r="B253" s="83" t="s">
        <v>93</v>
      </c>
      <c r="C253" s="100" t="s">
        <v>616</v>
      </c>
      <c r="D253" s="100" t="s">
        <v>963</v>
      </c>
      <c r="E253" s="100" t="s">
        <v>615</v>
      </c>
      <c r="F253" s="83" t="s">
        <v>29</v>
      </c>
      <c r="G253" s="83" t="s">
        <v>41</v>
      </c>
      <c r="H253" s="83" t="s">
        <v>31</v>
      </c>
      <c r="I253" s="108">
        <v>30.5</v>
      </c>
      <c r="J253" s="88" t="s">
        <v>91</v>
      </c>
      <c r="K253" s="38" t="s">
        <v>661</v>
      </c>
      <c r="L253" s="38" t="s">
        <v>34</v>
      </c>
      <c r="M253" s="90" t="s">
        <v>1</v>
      </c>
      <c r="N253" s="84">
        <v>165.87</v>
      </c>
      <c r="O253" s="84">
        <v>165.87</v>
      </c>
      <c r="P253" s="84">
        <v>209.51999999999998</v>
      </c>
      <c r="Q253" s="84">
        <v>174.6</v>
      </c>
      <c r="R253" s="84">
        <v>165.87</v>
      </c>
      <c r="S253" s="84">
        <v>200.79</v>
      </c>
      <c r="T253" s="84">
        <v>174.6</v>
      </c>
      <c r="U253" s="84">
        <v>218.25</v>
      </c>
      <c r="V253" s="84">
        <v>165.87</v>
      </c>
      <c r="W253" s="84">
        <v>157.13999999999999</v>
      </c>
      <c r="X253" s="84">
        <v>218.25</v>
      </c>
      <c r="Y253" s="84">
        <v>165.87</v>
      </c>
      <c r="Z253" s="38"/>
      <c r="AA253" s="37">
        <f t="shared" si="305"/>
        <v>5059.0349999999999</v>
      </c>
      <c r="AB253" s="37">
        <f t="shared" si="306"/>
        <v>5059.0349999999999</v>
      </c>
      <c r="AC253" s="37">
        <f t="shared" si="307"/>
        <v>6390.36</v>
      </c>
      <c r="AD253" s="37">
        <f t="shared" si="308"/>
        <v>5325.3</v>
      </c>
      <c r="AE253" s="37">
        <f t="shared" si="309"/>
        <v>5059.0349999999999</v>
      </c>
      <c r="AF253" s="37">
        <f t="shared" si="310"/>
        <v>6124.0949999999993</v>
      </c>
      <c r="AG253" s="37">
        <f t="shared" si="311"/>
        <v>5325.3</v>
      </c>
      <c r="AH253" s="37">
        <f t="shared" si="312"/>
        <v>6656.625</v>
      </c>
      <c r="AI253" s="37">
        <f t="shared" si="313"/>
        <v>5059.0349999999999</v>
      </c>
      <c r="AJ253" s="37">
        <f t="shared" si="314"/>
        <v>4792.7699999999995</v>
      </c>
      <c r="AK253" s="37">
        <f t="shared" si="315"/>
        <v>6656.625</v>
      </c>
      <c r="AL253" s="37">
        <f t="shared" si="316"/>
        <v>5059.0349999999999</v>
      </c>
      <c r="AM253" s="93">
        <v>1</v>
      </c>
    </row>
    <row r="254" spans="1:39" s="91" customFormat="1" ht="15.6">
      <c r="A254" s="87" t="s">
        <v>92</v>
      </c>
      <c r="B254" s="83" t="s">
        <v>93</v>
      </c>
      <c r="C254" s="100" t="s">
        <v>106</v>
      </c>
      <c r="D254" s="100" t="s">
        <v>964</v>
      </c>
      <c r="E254" s="100" t="s">
        <v>567</v>
      </c>
      <c r="F254" s="83" t="s">
        <v>68</v>
      </c>
      <c r="G254" s="83" t="s">
        <v>69</v>
      </c>
      <c r="H254" s="83" t="s">
        <v>44</v>
      </c>
      <c r="I254" s="108">
        <v>28.5</v>
      </c>
      <c r="J254" s="88" t="s">
        <v>91</v>
      </c>
      <c r="K254" s="38" t="s">
        <v>661</v>
      </c>
      <c r="L254" s="88" t="s">
        <v>34</v>
      </c>
      <c r="M254" s="131" t="s">
        <v>1</v>
      </c>
      <c r="N254" s="36">
        <v>165.87</v>
      </c>
      <c r="O254" s="36">
        <v>165.87</v>
      </c>
      <c r="P254" s="36">
        <v>218.25</v>
      </c>
      <c r="Q254" s="36">
        <v>148.41</v>
      </c>
      <c r="R254" s="36">
        <v>165.87</v>
      </c>
      <c r="S254" s="36">
        <v>209</v>
      </c>
      <c r="T254" s="36">
        <v>174.6</v>
      </c>
      <c r="U254" s="36">
        <v>200.79</v>
      </c>
      <c r="V254" s="36">
        <v>165.87</v>
      </c>
      <c r="W254" s="36">
        <v>174.6</v>
      </c>
      <c r="X254" s="36">
        <v>218.25</v>
      </c>
      <c r="Y254" s="36">
        <v>148.41</v>
      </c>
      <c r="Z254" s="38"/>
      <c r="AA254" s="37">
        <f t="shared" si="305"/>
        <v>4727.2950000000001</v>
      </c>
      <c r="AB254" s="37">
        <f t="shared" si="306"/>
        <v>4727.2950000000001</v>
      </c>
      <c r="AC254" s="37">
        <f t="shared" si="307"/>
        <v>6220.125</v>
      </c>
      <c r="AD254" s="37">
        <f t="shared" si="308"/>
        <v>4229.6849999999995</v>
      </c>
      <c r="AE254" s="37">
        <f t="shared" si="309"/>
        <v>4727.2950000000001</v>
      </c>
      <c r="AF254" s="37">
        <f t="shared" si="310"/>
        <v>5956.5</v>
      </c>
      <c r="AG254" s="37">
        <f t="shared" si="311"/>
        <v>4976.0999999999995</v>
      </c>
      <c r="AH254" s="37">
        <f t="shared" si="312"/>
        <v>5722.5149999999994</v>
      </c>
      <c r="AI254" s="37">
        <f t="shared" si="313"/>
        <v>4727.2950000000001</v>
      </c>
      <c r="AJ254" s="37">
        <f t="shared" si="314"/>
        <v>4976.0999999999995</v>
      </c>
      <c r="AK254" s="37">
        <f t="shared" si="315"/>
        <v>6220.125</v>
      </c>
      <c r="AL254" s="37">
        <f t="shared" si="316"/>
        <v>4229.6849999999995</v>
      </c>
      <c r="AM254" s="93">
        <v>1</v>
      </c>
    </row>
    <row r="255" spans="1:39" s="91" customFormat="1" ht="15.6">
      <c r="A255" s="87" t="s">
        <v>92</v>
      </c>
      <c r="B255" s="83" t="s">
        <v>93</v>
      </c>
      <c r="C255" s="100" t="s">
        <v>107</v>
      </c>
      <c r="D255" s="100" t="s">
        <v>783</v>
      </c>
      <c r="E255" s="100" t="s">
        <v>108</v>
      </c>
      <c r="F255" s="83" t="s">
        <v>29</v>
      </c>
      <c r="G255" s="83" t="s">
        <v>30</v>
      </c>
      <c r="H255" s="83">
        <v>8</v>
      </c>
      <c r="I255" s="108">
        <v>50.5</v>
      </c>
      <c r="J255" s="88" t="s">
        <v>91</v>
      </c>
      <c r="K255" s="38" t="s">
        <v>661</v>
      </c>
      <c r="L255" s="38" t="s">
        <v>34</v>
      </c>
      <c r="M255" s="90" t="s">
        <v>1</v>
      </c>
      <c r="N255" s="84">
        <v>83</v>
      </c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38" t="s">
        <v>707</v>
      </c>
      <c r="AA255" s="37">
        <f t="shared" si="305"/>
        <v>4191.5</v>
      </c>
      <c r="AB255" s="37">
        <f t="shared" si="306"/>
        <v>0</v>
      </c>
      <c r="AC255" s="37">
        <f t="shared" si="307"/>
        <v>0</v>
      </c>
      <c r="AD255" s="37">
        <f t="shared" si="308"/>
        <v>0</v>
      </c>
      <c r="AE255" s="37">
        <f t="shared" si="309"/>
        <v>0</v>
      </c>
      <c r="AF255" s="37">
        <f t="shared" si="310"/>
        <v>0</v>
      </c>
      <c r="AG255" s="37">
        <f t="shared" si="311"/>
        <v>0</v>
      </c>
      <c r="AH255" s="37">
        <f t="shared" si="312"/>
        <v>0</v>
      </c>
      <c r="AI255" s="37">
        <f t="shared" si="313"/>
        <v>0</v>
      </c>
      <c r="AJ255" s="37">
        <f t="shared" si="314"/>
        <v>0</v>
      </c>
      <c r="AK255" s="37">
        <f t="shared" si="315"/>
        <v>0</v>
      </c>
      <c r="AL255" s="37">
        <f t="shared" si="316"/>
        <v>0</v>
      </c>
      <c r="AM255" s="93">
        <v>0</v>
      </c>
    </row>
    <row r="256" spans="1:39" s="91" customFormat="1" ht="15.6">
      <c r="A256" s="87" t="s">
        <v>92</v>
      </c>
      <c r="B256" s="83" t="s">
        <v>93</v>
      </c>
      <c r="C256" s="38" t="s">
        <v>547</v>
      </c>
      <c r="D256" s="38" t="s">
        <v>795</v>
      </c>
      <c r="E256" s="100" t="s">
        <v>109</v>
      </c>
      <c r="F256" s="83" t="s">
        <v>112</v>
      </c>
      <c r="G256" s="83" t="s">
        <v>73</v>
      </c>
      <c r="H256" s="89">
        <v>7</v>
      </c>
      <c r="I256" s="108">
        <v>92.5</v>
      </c>
      <c r="J256" s="88" t="s">
        <v>91</v>
      </c>
      <c r="K256" s="38" t="s">
        <v>661</v>
      </c>
      <c r="L256" s="38" t="s">
        <v>74</v>
      </c>
      <c r="M256" s="90" t="s">
        <v>2</v>
      </c>
      <c r="N256" s="84">
        <v>152</v>
      </c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38"/>
      <c r="AA256" s="37">
        <f t="shared" si="305"/>
        <v>14060</v>
      </c>
      <c r="AB256" s="37">
        <f t="shared" si="306"/>
        <v>0</v>
      </c>
      <c r="AC256" s="37">
        <f t="shared" si="307"/>
        <v>0</v>
      </c>
      <c r="AD256" s="37">
        <f t="shared" si="308"/>
        <v>0</v>
      </c>
      <c r="AE256" s="37">
        <f t="shared" si="309"/>
        <v>0</v>
      </c>
      <c r="AF256" s="37">
        <f t="shared" si="310"/>
        <v>0</v>
      </c>
      <c r="AG256" s="37">
        <f t="shared" si="311"/>
        <v>0</v>
      </c>
      <c r="AH256" s="37">
        <f t="shared" si="312"/>
        <v>0</v>
      </c>
      <c r="AI256" s="37">
        <f t="shared" si="313"/>
        <v>0</v>
      </c>
      <c r="AJ256" s="37">
        <f t="shared" si="314"/>
        <v>0</v>
      </c>
      <c r="AK256" s="37">
        <f t="shared" si="315"/>
        <v>0</v>
      </c>
      <c r="AL256" s="37">
        <f t="shared" si="316"/>
        <v>0</v>
      </c>
      <c r="AM256" s="93">
        <v>0</v>
      </c>
    </row>
    <row r="257" spans="1:39" s="91" customFormat="1" ht="15.6">
      <c r="A257" s="87" t="s">
        <v>92</v>
      </c>
      <c r="B257" s="83" t="s">
        <v>93</v>
      </c>
      <c r="C257" s="38"/>
      <c r="D257" s="38"/>
      <c r="E257" s="100" t="s">
        <v>1093</v>
      </c>
      <c r="F257" s="83" t="s">
        <v>112</v>
      </c>
      <c r="G257" s="83" t="s">
        <v>73</v>
      </c>
      <c r="H257" s="89">
        <v>8</v>
      </c>
      <c r="I257" s="108">
        <v>100</v>
      </c>
      <c r="J257" s="88" t="s">
        <v>91</v>
      </c>
      <c r="K257" s="38" t="s">
        <v>661</v>
      </c>
      <c r="L257" s="38" t="s">
        <v>74</v>
      </c>
      <c r="M257" s="90" t="s">
        <v>3</v>
      </c>
      <c r="N257" s="84">
        <v>152</v>
      </c>
      <c r="O257" s="84"/>
      <c r="P257" s="84">
        <v>210.48999999999998</v>
      </c>
      <c r="Q257" s="84"/>
      <c r="R257" s="84"/>
      <c r="S257" s="84"/>
      <c r="T257" s="84"/>
      <c r="U257" s="84"/>
      <c r="V257" s="84"/>
      <c r="W257" s="84"/>
      <c r="X257" s="84"/>
      <c r="Y257" s="84"/>
      <c r="Z257" s="38"/>
      <c r="AA257" s="37">
        <f t="shared" si="305"/>
        <v>15200</v>
      </c>
      <c r="AB257" s="37">
        <f t="shared" si="306"/>
        <v>0</v>
      </c>
      <c r="AC257" s="37">
        <f t="shared" si="307"/>
        <v>21048.999999999996</v>
      </c>
      <c r="AD257" s="37">
        <f t="shared" si="308"/>
        <v>0</v>
      </c>
      <c r="AE257" s="37">
        <f t="shared" si="309"/>
        <v>0</v>
      </c>
      <c r="AF257" s="37">
        <f t="shared" si="310"/>
        <v>0</v>
      </c>
      <c r="AG257" s="37">
        <f t="shared" si="311"/>
        <v>0</v>
      </c>
      <c r="AH257" s="37">
        <f t="shared" si="312"/>
        <v>0</v>
      </c>
      <c r="AI257" s="37">
        <f t="shared" si="313"/>
        <v>0</v>
      </c>
      <c r="AJ257" s="37">
        <f t="shared" si="314"/>
        <v>0</v>
      </c>
      <c r="AK257" s="37">
        <f t="shared" si="315"/>
        <v>0</v>
      </c>
      <c r="AL257" s="37">
        <f t="shared" si="316"/>
        <v>0</v>
      </c>
      <c r="AM257" s="93">
        <v>0</v>
      </c>
    </row>
    <row r="258" spans="1:39" s="91" customFormat="1" ht="15.6">
      <c r="A258" s="87" t="s">
        <v>92</v>
      </c>
      <c r="B258" s="83" t="s">
        <v>93</v>
      </c>
      <c r="C258" s="100" t="s">
        <v>575</v>
      </c>
      <c r="D258" s="100" t="s">
        <v>965</v>
      </c>
      <c r="E258" s="100" t="s">
        <v>574</v>
      </c>
      <c r="F258" s="83" t="s">
        <v>29</v>
      </c>
      <c r="G258" s="89" t="s">
        <v>39</v>
      </c>
      <c r="H258" s="89" t="s">
        <v>31</v>
      </c>
      <c r="I258" s="108">
        <v>35.5</v>
      </c>
      <c r="J258" s="88" t="s">
        <v>91</v>
      </c>
      <c r="K258" s="38" t="s">
        <v>661</v>
      </c>
      <c r="L258" s="88" t="s">
        <v>34</v>
      </c>
      <c r="M258" s="90" t="s">
        <v>3</v>
      </c>
      <c r="N258" s="84">
        <v>166.84</v>
      </c>
      <c r="O258" s="84">
        <v>166.84</v>
      </c>
      <c r="P258" s="84">
        <v>210.48999999999998</v>
      </c>
      <c r="Q258" s="84">
        <v>166.84</v>
      </c>
      <c r="R258" s="84">
        <v>166.84</v>
      </c>
      <c r="S258" s="84">
        <v>202.73</v>
      </c>
      <c r="T258" s="84">
        <v>174.6</v>
      </c>
      <c r="U258" s="84">
        <v>218.25</v>
      </c>
      <c r="V258" s="84">
        <v>166.84</v>
      </c>
      <c r="W258" s="84">
        <v>159.07999999999998</v>
      </c>
      <c r="X258" s="84">
        <v>210.48999999999998</v>
      </c>
      <c r="Y258" s="84">
        <v>166.84</v>
      </c>
      <c r="Z258" s="38"/>
      <c r="AA258" s="37">
        <f t="shared" si="305"/>
        <v>5922.82</v>
      </c>
      <c r="AB258" s="37">
        <f t="shared" si="306"/>
        <v>5922.82</v>
      </c>
      <c r="AC258" s="37">
        <f t="shared" si="307"/>
        <v>7472.3949999999995</v>
      </c>
      <c r="AD258" s="37">
        <f t="shared" si="308"/>
        <v>5922.82</v>
      </c>
      <c r="AE258" s="37">
        <f t="shared" si="309"/>
        <v>5922.82</v>
      </c>
      <c r="AF258" s="37">
        <f t="shared" si="310"/>
        <v>7196.915</v>
      </c>
      <c r="AG258" s="37">
        <f t="shared" si="311"/>
        <v>6198.3</v>
      </c>
      <c r="AH258" s="37">
        <f t="shared" si="312"/>
        <v>7747.875</v>
      </c>
      <c r="AI258" s="37">
        <f t="shared" si="313"/>
        <v>5922.82</v>
      </c>
      <c r="AJ258" s="37">
        <f t="shared" si="314"/>
        <v>5647.3399999999992</v>
      </c>
      <c r="AK258" s="37">
        <f t="shared" si="315"/>
        <v>7472.3949999999995</v>
      </c>
      <c r="AL258" s="37">
        <f t="shared" si="316"/>
        <v>5922.82</v>
      </c>
      <c r="AM258" s="93">
        <v>1</v>
      </c>
    </row>
    <row r="259" spans="1:39" s="91" customFormat="1" ht="15.6">
      <c r="A259" s="87" t="s">
        <v>92</v>
      </c>
      <c r="B259" s="83" t="s">
        <v>93</v>
      </c>
      <c r="C259" s="100" t="s">
        <v>1195</v>
      </c>
      <c r="D259" s="100" t="s">
        <v>1194</v>
      </c>
      <c r="E259" s="100" t="s">
        <v>1184</v>
      </c>
      <c r="F259" s="83" t="s">
        <v>112</v>
      </c>
      <c r="G259" s="83" t="s">
        <v>73</v>
      </c>
      <c r="H259" s="83">
        <v>9</v>
      </c>
      <c r="I259" s="108">
        <v>185.5</v>
      </c>
      <c r="J259" s="88" t="s">
        <v>91</v>
      </c>
      <c r="K259" s="38" t="s">
        <v>661</v>
      </c>
      <c r="L259" s="38" t="s">
        <v>74</v>
      </c>
      <c r="M259" s="90" t="s">
        <v>2</v>
      </c>
      <c r="N259" s="84"/>
      <c r="O259" s="84"/>
      <c r="P259" s="84"/>
      <c r="Q259" s="84"/>
      <c r="R259" s="84"/>
      <c r="S259" s="84">
        <v>200</v>
      </c>
      <c r="T259" s="84">
        <v>152</v>
      </c>
      <c r="U259" s="84">
        <v>192</v>
      </c>
      <c r="V259" s="84">
        <v>152</v>
      </c>
      <c r="W259" s="84">
        <v>152</v>
      </c>
      <c r="X259" s="84">
        <v>192</v>
      </c>
      <c r="Y259" s="84">
        <v>152</v>
      </c>
      <c r="Z259" s="38"/>
      <c r="AA259" s="37">
        <f t="shared" ref="AA259" si="365">$I259*N259</f>
        <v>0</v>
      </c>
      <c r="AB259" s="37">
        <f t="shared" ref="AB259" si="366">$I259*O259</f>
        <v>0</v>
      </c>
      <c r="AC259" s="37">
        <f t="shared" ref="AC259" si="367">$I259*P259</f>
        <v>0</v>
      </c>
      <c r="AD259" s="37">
        <f t="shared" ref="AD259" si="368">$I259*Q259</f>
        <v>0</v>
      </c>
      <c r="AE259" s="37">
        <f t="shared" ref="AE259" si="369">$I259*R259</f>
        <v>0</v>
      </c>
      <c r="AF259" s="37">
        <f t="shared" ref="AF259" si="370">$I259*S259</f>
        <v>37100</v>
      </c>
      <c r="AG259" s="37">
        <f t="shared" ref="AG259" si="371">$I259*T259</f>
        <v>28196</v>
      </c>
      <c r="AH259" s="37">
        <f t="shared" ref="AH259" si="372">$I259*U259</f>
        <v>35616</v>
      </c>
      <c r="AI259" s="37">
        <f t="shared" ref="AI259" si="373">$I259*V259</f>
        <v>28196</v>
      </c>
      <c r="AJ259" s="37">
        <f t="shared" ref="AJ259" si="374">$I259*W259</f>
        <v>28196</v>
      </c>
      <c r="AK259" s="37">
        <f t="shared" ref="AK259" si="375">$I259*X259</f>
        <v>35616</v>
      </c>
      <c r="AL259" s="37">
        <f t="shared" ref="AL259" si="376">$I259*Y259</f>
        <v>28196</v>
      </c>
      <c r="AM259" s="93">
        <v>1</v>
      </c>
    </row>
    <row r="260" spans="1:39" s="91" customFormat="1" ht="15.6">
      <c r="A260" s="87" t="s">
        <v>92</v>
      </c>
      <c r="B260" s="83" t="s">
        <v>93</v>
      </c>
      <c r="C260" s="100" t="s">
        <v>110</v>
      </c>
      <c r="D260" s="100" t="s">
        <v>966</v>
      </c>
      <c r="E260" s="100" t="s">
        <v>111</v>
      </c>
      <c r="F260" s="83" t="s">
        <v>112</v>
      </c>
      <c r="G260" s="83" t="s">
        <v>73</v>
      </c>
      <c r="H260" s="83">
        <v>9</v>
      </c>
      <c r="I260" s="108">
        <v>229.5</v>
      </c>
      <c r="J260" s="88" t="s">
        <v>91</v>
      </c>
      <c r="K260" s="38" t="s">
        <v>661</v>
      </c>
      <c r="L260" s="38" t="s">
        <v>74</v>
      </c>
      <c r="M260" s="90" t="s">
        <v>2</v>
      </c>
      <c r="N260" s="84">
        <v>152</v>
      </c>
      <c r="O260" s="84">
        <v>152</v>
      </c>
      <c r="P260" s="84">
        <v>192</v>
      </c>
      <c r="Q260" s="84">
        <v>160</v>
      </c>
      <c r="R260" s="84">
        <v>152</v>
      </c>
      <c r="S260" s="84">
        <v>200</v>
      </c>
      <c r="T260" s="84">
        <v>152</v>
      </c>
      <c r="U260" s="84">
        <v>192</v>
      </c>
      <c r="V260" s="84">
        <v>152</v>
      </c>
      <c r="W260" s="84">
        <v>152</v>
      </c>
      <c r="X260" s="84">
        <v>192</v>
      </c>
      <c r="Y260" s="84">
        <v>152</v>
      </c>
      <c r="Z260" s="38"/>
      <c r="AA260" s="37">
        <f t="shared" si="305"/>
        <v>34884</v>
      </c>
      <c r="AB260" s="37">
        <f t="shared" si="306"/>
        <v>34884</v>
      </c>
      <c r="AC260" s="37">
        <f t="shared" si="307"/>
        <v>44064</v>
      </c>
      <c r="AD260" s="37">
        <f t="shared" si="308"/>
        <v>36720</v>
      </c>
      <c r="AE260" s="37">
        <f t="shared" si="309"/>
        <v>34884</v>
      </c>
      <c r="AF260" s="37">
        <f t="shared" si="310"/>
        <v>45900</v>
      </c>
      <c r="AG260" s="37">
        <f t="shared" si="311"/>
        <v>34884</v>
      </c>
      <c r="AH260" s="37">
        <f t="shared" si="312"/>
        <v>44064</v>
      </c>
      <c r="AI260" s="37">
        <f t="shared" si="313"/>
        <v>34884</v>
      </c>
      <c r="AJ260" s="37">
        <f t="shared" si="314"/>
        <v>34884</v>
      </c>
      <c r="AK260" s="37">
        <f t="shared" si="315"/>
        <v>44064</v>
      </c>
      <c r="AL260" s="37">
        <f t="shared" si="316"/>
        <v>34884</v>
      </c>
      <c r="AM260" s="93">
        <v>1</v>
      </c>
    </row>
    <row r="261" spans="1:39" s="46" customFormat="1" ht="15.6">
      <c r="A261" s="39" t="s">
        <v>92</v>
      </c>
      <c r="B261" s="40" t="s">
        <v>93</v>
      </c>
      <c r="C261" s="41" t="s">
        <v>4</v>
      </c>
      <c r="D261" s="41" t="s">
        <v>4</v>
      </c>
      <c r="E261" s="41" t="s">
        <v>4</v>
      </c>
      <c r="F261" s="40" t="s">
        <v>4</v>
      </c>
      <c r="G261" s="40" t="s">
        <v>4</v>
      </c>
      <c r="H261" s="42"/>
      <c r="I261" s="108"/>
      <c r="J261" s="41" t="s">
        <v>4</v>
      </c>
      <c r="K261" s="41" t="s">
        <v>4</v>
      </c>
      <c r="L261" s="41" t="s">
        <v>4</v>
      </c>
      <c r="M261" s="41" t="s">
        <v>4</v>
      </c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2"/>
      <c r="AA261" s="44">
        <f t="shared" ref="AA261:AL261" si="377">((SUMIFS(AA1:AA391, $B$1:$B$391,"RAK00", $F$1:$F$391,"India")*0.15)+SUMIFS(AA1:AA391, $B$1:$B$391,"RAK00", $F$1:$F$391,"PH")*0.15)</f>
        <v>8050.8982500000011</v>
      </c>
      <c r="AB261" s="44">
        <f t="shared" si="377"/>
        <v>8141.0887500000017</v>
      </c>
      <c r="AC261" s="44">
        <f t="shared" si="377"/>
        <v>10239.562499999998</v>
      </c>
      <c r="AD261" s="44">
        <f t="shared" si="377"/>
        <v>8513.6414999999997</v>
      </c>
      <c r="AE261" s="44">
        <f t="shared" si="377"/>
        <v>9497.0760000000009</v>
      </c>
      <c r="AF261" s="44">
        <f t="shared" si="377"/>
        <v>12109.518749999997</v>
      </c>
      <c r="AG261" s="44">
        <f t="shared" si="377"/>
        <v>9939.1050000000014</v>
      </c>
      <c r="AH261" s="44">
        <f t="shared" si="377"/>
        <v>12349.239749999999</v>
      </c>
      <c r="AI261" s="44">
        <f t="shared" si="377"/>
        <v>9447.3150000000005</v>
      </c>
      <c r="AJ261" s="44">
        <f t="shared" si="377"/>
        <v>9030.1664999999957</v>
      </c>
      <c r="AK261" s="44">
        <f t="shared" si="377"/>
        <v>12302.679749999999</v>
      </c>
      <c r="AL261" s="44">
        <f t="shared" si="377"/>
        <v>9372.6735000000008</v>
      </c>
      <c r="AM261" s="45"/>
    </row>
    <row r="262" spans="1:39" s="46" customFormat="1" ht="15.6">
      <c r="A262" s="39" t="s">
        <v>92</v>
      </c>
      <c r="B262" s="40" t="s">
        <v>93</v>
      </c>
      <c r="C262" s="41" t="s">
        <v>5</v>
      </c>
      <c r="D262" s="41" t="s">
        <v>5</v>
      </c>
      <c r="E262" s="41" t="s">
        <v>5</v>
      </c>
      <c r="F262" s="40" t="s">
        <v>5</v>
      </c>
      <c r="G262" s="40" t="s">
        <v>5</v>
      </c>
      <c r="H262" s="42"/>
      <c r="I262" s="108"/>
      <c r="J262" s="41" t="s">
        <v>5</v>
      </c>
      <c r="K262" s="41" t="s">
        <v>5</v>
      </c>
      <c r="L262" s="41" t="s">
        <v>5</v>
      </c>
      <c r="M262" s="41" t="s">
        <v>5</v>
      </c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2"/>
      <c r="AA262" s="44">
        <v>2000</v>
      </c>
      <c r="AB262" s="44">
        <v>2000</v>
      </c>
      <c r="AC262" s="44">
        <v>2200</v>
      </c>
      <c r="AD262" s="44">
        <v>2000</v>
      </c>
      <c r="AE262" s="44">
        <v>2000</v>
      </c>
      <c r="AF262" s="44">
        <v>2200</v>
      </c>
      <c r="AG262" s="44">
        <v>2000</v>
      </c>
      <c r="AH262" s="44">
        <v>2200</v>
      </c>
      <c r="AI262" s="44">
        <v>2000</v>
      </c>
      <c r="AJ262" s="44">
        <v>2000</v>
      </c>
      <c r="AK262" s="44">
        <v>2200</v>
      </c>
      <c r="AL262" s="44">
        <v>2000</v>
      </c>
      <c r="AM262" s="45"/>
    </row>
    <row r="263" spans="1:39" s="46" customFormat="1" ht="15.6">
      <c r="A263" s="39" t="s">
        <v>92</v>
      </c>
      <c r="B263" s="40" t="s">
        <v>93</v>
      </c>
      <c r="C263" s="41" t="s">
        <v>6</v>
      </c>
      <c r="D263" s="41" t="s">
        <v>6</v>
      </c>
      <c r="E263" s="41" t="s">
        <v>6</v>
      </c>
      <c r="F263" s="40" t="s">
        <v>6</v>
      </c>
      <c r="G263" s="40" t="s">
        <v>6</v>
      </c>
      <c r="H263" s="42"/>
      <c r="I263" s="108"/>
      <c r="J263" s="41" t="s">
        <v>6</v>
      </c>
      <c r="K263" s="41" t="s">
        <v>6</v>
      </c>
      <c r="L263" s="41" t="s">
        <v>6</v>
      </c>
      <c r="M263" s="41" t="s">
        <v>6</v>
      </c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2"/>
      <c r="AA263" s="44">
        <f>(54*5*4*0.6)</f>
        <v>648</v>
      </c>
      <c r="AB263" s="44">
        <f>(54*5*4*0.6)</f>
        <v>648</v>
      </c>
      <c r="AC263" s="44">
        <f>(54*5*5*0.6)</f>
        <v>810</v>
      </c>
      <c r="AD263" s="44">
        <f>(54*5*4*0.6)</f>
        <v>648</v>
      </c>
      <c r="AE263" s="44">
        <f>(54*5*4*0.6)</f>
        <v>648</v>
      </c>
      <c r="AF263" s="44">
        <f>(54*5*5*0.6)</f>
        <v>810</v>
      </c>
      <c r="AG263" s="44">
        <f>(54*5*4*0.6)</f>
        <v>648</v>
      </c>
      <c r="AH263" s="44">
        <f>(54*5*5*0.6)</f>
        <v>810</v>
      </c>
      <c r="AI263" s="44">
        <f>(54*5*4*0.6)</f>
        <v>648</v>
      </c>
      <c r="AJ263" s="44">
        <f>(54*5*4*0.6)</f>
        <v>648</v>
      </c>
      <c r="AK263" s="44">
        <f>(54*5*5*0.6)</f>
        <v>810</v>
      </c>
      <c r="AL263" s="44">
        <f>(54*5*4*0.6)</f>
        <v>648</v>
      </c>
      <c r="AM263" s="45"/>
    </row>
    <row r="264" spans="1:39" s="91" customFormat="1" ht="15.6">
      <c r="A264" s="87" t="s">
        <v>92</v>
      </c>
      <c r="B264" s="83" t="s">
        <v>734</v>
      </c>
      <c r="C264" s="100" t="s">
        <v>667</v>
      </c>
      <c r="D264" s="100" t="s">
        <v>967</v>
      </c>
      <c r="E264" s="100" t="s">
        <v>666</v>
      </c>
      <c r="F264" s="83" t="s">
        <v>29</v>
      </c>
      <c r="G264" s="83" t="s">
        <v>30</v>
      </c>
      <c r="H264" s="83" t="s">
        <v>60</v>
      </c>
      <c r="I264" s="108">
        <v>22.5</v>
      </c>
      <c r="J264" s="88" t="s">
        <v>91</v>
      </c>
      <c r="K264" s="38" t="s">
        <v>772</v>
      </c>
      <c r="L264" s="38" t="s">
        <v>34</v>
      </c>
      <c r="M264" s="90" t="s">
        <v>1</v>
      </c>
      <c r="N264" s="84">
        <v>165.87</v>
      </c>
      <c r="O264" s="84">
        <v>165.87</v>
      </c>
      <c r="P264" s="84">
        <v>209.51999999999998</v>
      </c>
      <c r="Q264" s="84">
        <v>165.87</v>
      </c>
      <c r="R264" s="84">
        <v>80</v>
      </c>
      <c r="S264" s="84"/>
      <c r="T264" s="84"/>
      <c r="U264" s="84"/>
      <c r="V264" s="84"/>
      <c r="W264" s="84"/>
      <c r="X264" s="84"/>
      <c r="Y264" s="84"/>
      <c r="Z264" s="38" t="s">
        <v>1131</v>
      </c>
      <c r="AA264" s="37">
        <f t="shared" ref="AA264:AA273" si="378">$I264*N264</f>
        <v>3732.0750000000003</v>
      </c>
      <c r="AB264" s="37">
        <f t="shared" ref="AB264:AB273" si="379">$I264*O264</f>
        <v>3732.0750000000003</v>
      </c>
      <c r="AC264" s="37">
        <f t="shared" ref="AC264:AC273" si="380">$I264*P264</f>
        <v>4714.2</v>
      </c>
      <c r="AD264" s="37">
        <f t="shared" ref="AD264:AD273" si="381">$I264*Q264</f>
        <v>3732.0750000000003</v>
      </c>
      <c r="AE264" s="37">
        <f t="shared" ref="AE264:AE273" si="382">$I264*R264</f>
        <v>1800</v>
      </c>
      <c r="AF264" s="37">
        <f t="shared" ref="AF264:AF273" si="383">$I264*S264</f>
        <v>0</v>
      </c>
      <c r="AG264" s="37">
        <f t="shared" ref="AG264:AG273" si="384">$I264*T264</f>
        <v>0</v>
      </c>
      <c r="AH264" s="37">
        <f t="shared" ref="AH264:AH273" si="385">$I264*U264</f>
        <v>0</v>
      </c>
      <c r="AI264" s="37">
        <f t="shared" ref="AI264:AI273" si="386">$I264*V264</f>
        <v>0</v>
      </c>
      <c r="AJ264" s="37">
        <f t="shared" ref="AJ264:AJ273" si="387">$I264*W264</f>
        <v>0</v>
      </c>
      <c r="AK264" s="37">
        <f t="shared" ref="AK264:AK273" si="388">$I264*X264</f>
        <v>0</v>
      </c>
      <c r="AL264" s="37">
        <f t="shared" ref="AL264:AL273" si="389">$I264*Y264</f>
        <v>0</v>
      </c>
      <c r="AM264" s="93">
        <v>1</v>
      </c>
    </row>
    <row r="265" spans="1:39" s="91" customFormat="1" ht="15.6">
      <c r="A265" s="87" t="s">
        <v>92</v>
      </c>
      <c r="B265" s="83" t="s">
        <v>734</v>
      </c>
      <c r="C265" s="100" t="s">
        <v>665</v>
      </c>
      <c r="D265" s="100" t="s">
        <v>968</v>
      </c>
      <c r="E265" s="100" t="s">
        <v>664</v>
      </c>
      <c r="F265" s="83" t="s">
        <v>29</v>
      </c>
      <c r="G265" s="83" t="s">
        <v>221</v>
      </c>
      <c r="H265" s="83" t="s">
        <v>60</v>
      </c>
      <c r="I265" s="108">
        <v>19</v>
      </c>
      <c r="J265" s="88" t="s">
        <v>91</v>
      </c>
      <c r="K265" s="38" t="s">
        <v>772</v>
      </c>
      <c r="L265" s="38" t="s">
        <v>34</v>
      </c>
      <c r="M265" s="90" t="s">
        <v>1</v>
      </c>
      <c r="N265" s="36">
        <v>174.6</v>
      </c>
      <c r="O265" s="36">
        <v>165.87</v>
      </c>
      <c r="P265" s="36">
        <v>200.79</v>
      </c>
      <c r="Q265" s="36">
        <v>174.6</v>
      </c>
      <c r="R265" s="36">
        <v>165.87</v>
      </c>
      <c r="S265" s="36">
        <v>209.51999999999998</v>
      </c>
      <c r="T265" s="36">
        <v>174.6</v>
      </c>
      <c r="U265" s="36">
        <v>218.25</v>
      </c>
      <c r="V265" s="36">
        <v>165.87</v>
      </c>
      <c r="W265" s="36">
        <v>157.13999999999999</v>
      </c>
      <c r="X265" s="36">
        <v>209.51999999999998</v>
      </c>
      <c r="Y265" s="36">
        <v>165.87</v>
      </c>
      <c r="Z265" s="38"/>
      <c r="AA265" s="37">
        <f t="shared" si="378"/>
        <v>3317.4</v>
      </c>
      <c r="AB265" s="37">
        <f t="shared" si="379"/>
        <v>3151.53</v>
      </c>
      <c r="AC265" s="37">
        <f t="shared" si="380"/>
        <v>3815.0099999999998</v>
      </c>
      <c r="AD265" s="37">
        <f t="shared" si="381"/>
        <v>3317.4</v>
      </c>
      <c r="AE265" s="37">
        <f t="shared" si="382"/>
        <v>3151.53</v>
      </c>
      <c r="AF265" s="37">
        <f t="shared" si="383"/>
        <v>3980.8799999999997</v>
      </c>
      <c r="AG265" s="37">
        <f t="shared" si="384"/>
        <v>3317.4</v>
      </c>
      <c r="AH265" s="37">
        <f t="shared" si="385"/>
        <v>4146.75</v>
      </c>
      <c r="AI265" s="37">
        <f t="shared" si="386"/>
        <v>3151.53</v>
      </c>
      <c r="AJ265" s="37">
        <f t="shared" si="387"/>
        <v>2985.66</v>
      </c>
      <c r="AK265" s="37">
        <f t="shared" si="388"/>
        <v>3980.8799999999997</v>
      </c>
      <c r="AL265" s="37">
        <f t="shared" si="389"/>
        <v>3151.53</v>
      </c>
      <c r="AM265" s="93">
        <v>1</v>
      </c>
    </row>
    <row r="266" spans="1:39" s="91" customFormat="1" ht="15.6">
      <c r="A266" s="87" t="s">
        <v>92</v>
      </c>
      <c r="B266" s="83" t="s">
        <v>734</v>
      </c>
      <c r="C266" s="38" t="s">
        <v>669</v>
      </c>
      <c r="D266" s="38" t="s">
        <v>969</v>
      </c>
      <c r="E266" s="100" t="s">
        <v>668</v>
      </c>
      <c r="F266" s="83" t="s">
        <v>112</v>
      </c>
      <c r="G266" s="83" t="s">
        <v>73</v>
      </c>
      <c r="H266" s="89">
        <v>8</v>
      </c>
      <c r="I266" s="108">
        <v>132.5</v>
      </c>
      <c r="J266" s="88" t="s">
        <v>91</v>
      </c>
      <c r="K266" s="38" t="s">
        <v>772</v>
      </c>
      <c r="L266" s="38" t="s">
        <v>74</v>
      </c>
      <c r="M266" s="90" t="s">
        <v>2</v>
      </c>
      <c r="N266" s="84">
        <v>152</v>
      </c>
      <c r="O266" s="84">
        <v>152</v>
      </c>
      <c r="P266" s="84">
        <v>192</v>
      </c>
      <c r="Q266" s="84">
        <v>160</v>
      </c>
      <c r="R266" s="84">
        <v>152</v>
      </c>
      <c r="S266" s="84">
        <v>200</v>
      </c>
      <c r="T266" s="84">
        <v>152</v>
      </c>
      <c r="U266" s="84">
        <v>192</v>
      </c>
      <c r="V266" s="84">
        <v>152</v>
      </c>
      <c r="W266" s="84">
        <v>152</v>
      </c>
      <c r="X266" s="84">
        <v>192</v>
      </c>
      <c r="Y266" s="84">
        <v>152</v>
      </c>
      <c r="Z266" s="38"/>
      <c r="AA266" s="37">
        <f t="shared" si="378"/>
        <v>20140</v>
      </c>
      <c r="AB266" s="37">
        <f t="shared" si="379"/>
        <v>20140</v>
      </c>
      <c r="AC266" s="37">
        <f t="shared" si="380"/>
        <v>25440</v>
      </c>
      <c r="AD266" s="37">
        <f t="shared" si="381"/>
        <v>21200</v>
      </c>
      <c r="AE266" s="37">
        <f t="shared" si="382"/>
        <v>20140</v>
      </c>
      <c r="AF266" s="37">
        <f t="shared" si="383"/>
        <v>26500</v>
      </c>
      <c r="AG266" s="37">
        <f t="shared" si="384"/>
        <v>20140</v>
      </c>
      <c r="AH266" s="37">
        <f t="shared" si="385"/>
        <v>25440</v>
      </c>
      <c r="AI266" s="37">
        <f t="shared" si="386"/>
        <v>20140</v>
      </c>
      <c r="AJ266" s="37">
        <f t="shared" si="387"/>
        <v>20140</v>
      </c>
      <c r="AK266" s="37">
        <f t="shared" si="388"/>
        <v>25440</v>
      </c>
      <c r="AL266" s="37">
        <f t="shared" si="389"/>
        <v>20140</v>
      </c>
      <c r="AM266" s="93">
        <v>1</v>
      </c>
    </row>
    <row r="267" spans="1:39" s="91" customFormat="1" ht="15.6">
      <c r="A267" s="87" t="s">
        <v>92</v>
      </c>
      <c r="B267" s="83" t="s">
        <v>734</v>
      </c>
      <c r="C267" s="38" t="s">
        <v>1091</v>
      </c>
      <c r="D267" s="38" t="s">
        <v>1090</v>
      </c>
      <c r="E267" s="100" t="s">
        <v>1092</v>
      </c>
      <c r="F267" s="83" t="s">
        <v>637</v>
      </c>
      <c r="G267" s="83" t="s">
        <v>73</v>
      </c>
      <c r="H267" s="89">
        <v>7</v>
      </c>
      <c r="I267" s="108">
        <v>105.5</v>
      </c>
      <c r="J267" s="88" t="s">
        <v>91</v>
      </c>
      <c r="K267" s="38" t="s">
        <v>772</v>
      </c>
      <c r="L267" s="38" t="s">
        <v>74</v>
      </c>
      <c r="M267" s="90" t="s">
        <v>2</v>
      </c>
      <c r="N267" s="84"/>
      <c r="O267" s="84">
        <v>75</v>
      </c>
      <c r="P267" s="84">
        <v>192</v>
      </c>
      <c r="Q267" s="84">
        <v>160</v>
      </c>
      <c r="R267" s="84">
        <v>152</v>
      </c>
      <c r="S267" s="84">
        <v>200</v>
      </c>
      <c r="T267" s="84">
        <v>152</v>
      </c>
      <c r="U267" s="84">
        <v>192</v>
      </c>
      <c r="V267" s="84">
        <v>152</v>
      </c>
      <c r="W267" s="84">
        <v>152</v>
      </c>
      <c r="X267" s="84">
        <v>192</v>
      </c>
      <c r="Y267" s="84">
        <v>152</v>
      </c>
      <c r="Z267" s="38"/>
      <c r="AA267" s="37">
        <f t="shared" si="378"/>
        <v>0</v>
      </c>
      <c r="AB267" s="37">
        <f t="shared" si="379"/>
        <v>7912.5</v>
      </c>
      <c r="AC267" s="37">
        <f t="shared" si="380"/>
        <v>20256</v>
      </c>
      <c r="AD267" s="37">
        <f t="shared" si="381"/>
        <v>16880</v>
      </c>
      <c r="AE267" s="37">
        <f t="shared" si="382"/>
        <v>16036</v>
      </c>
      <c r="AF267" s="37">
        <f t="shared" si="383"/>
        <v>21100</v>
      </c>
      <c r="AG267" s="37">
        <f t="shared" si="384"/>
        <v>16036</v>
      </c>
      <c r="AH267" s="37">
        <f t="shared" si="385"/>
        <v>20256</v>
      </c>
      <c r="AI267" s="37">
        <f t="shared" si="386"/>
        <v>16036</v>
      </c>
      <c r="AJ267" s="37">
        <f t="shared" si="387"/>
        <v>16036</v>
      </c>
      <c r="AK267" s="37">
        <f t="shared" si="388"/>
        <v>20256</v>
      </c>
      <c r="AL267" s="37">
        <f t="shared" si="389"/>
        <v>16036</v>
      </c>
      <c r="AM267" s="93">
        <v>1</v>
      </c>
    </row>
    <row r="268" spans="1:39" s="91" customFormat="1" ht="15.6">
      <c r="A268" s="87" t="s">
        <v>92</v>
      </c>
      <c r="B268" s="83" t="s">
        <v>734</v>
      </c>
      <c r="C268" s="38" t="s">
        <v>1206</v>
      </c>
      <c r="D268" s="38" t="s">
        <v>1205</v>
      </c>
      <c r="E268" s="100" t="s">
        <v>774</v>
      </c>
      <c r="F268" s="83" t="s">
        <v>112</v>
      </c>
      <c r="G268" s="83" t="s">
        <v>73</v>
      </c>
      <c r="H268" s="89">
        <v>8</v>
      </c>
      <c r="I268" s="108">
        <v>110</v>
      </c>
      <c r="J268" s="88" t="s">
        <v>91</v>
      </c>
      <c r="K268" s="38" t="s">
        <v>772</v>
      </c>
      <c r="L268" s="38" t="s">
        <v>74</v>
      </c>
      <c r="M268" s="90" t="s">
        <v>3</v>
      </c>
      <c r="N268" s="84"/>
      <c r="O268" s="84">
        <v>75</v>
      </c>
      <c r="P268" s="84">
        <v>192</v>
      </c>
      <c r="Q268" s="84">
        <v>160</v>
      </c>
      <c r="R268" s="84">
        <v>152</v>
      </c>
      <c r="S268" s="84">
        <v>200</v>
      </c>
      <c r="T268" s="84">
        <v>152</v>
      </c>
      <c r="U268" s="84">
        <v>192</v>
      </c>
      <c r="V268" s="84">
        <v>152</v>
      </c>
      <c r="W268" s="84">
        <v>152</v>
      </c>
      <c r="X268" s="84">
        <v>192</v>
      </c>
      <c r="Y268" s="84">
        <v>152</v>
      </c>
      <c r="Z268" s="38"/>
      <c r="AA268" s="37">
        <f t="shared" si="378"/>
        <v>0</v>
      </c>
      <c r="AB268" s="37">
        <f t="shared" si="379"/>
        <v>8250</v>
      </c>
      <c r="AC268" s="37">
        <f t="shared" si="380"/>
        <v>21120</v>
      </c>
      <c r="AD268" s="37">
        <f t="shared" si="381"/>
        <v>17600</v>
      </c>
      <c r="AE268" s="37">
        <f t="shared" si="382"/>
        <v>16720</v>
      </c>
      <c r="AF268" s="37">
        <f t="shared" si="383"/>
        <v>22000</v>
      </c>
      <c r="AG268" s="37">
        <f t="shared" si="384"/>
        <v>16720</v>
      </c>
      <c r="AH268" s="37">
        <f t="shared" si="385"/>
        <v>21120</v>
      </c>
      <c r="AI268" s="37">
        <f t="shared" si="386"/>
        <v>16720</v>
      </c>
      <c r="AJ268" s="37">
        <f t="shared" si="387"/>
        <v>16720</v>
      </c>
      <c r="AK268" s="37">
        <f t="shared" si="388"/>
        <v>21120</v>
      </c>
      <c r="AL268" s="37">
        <f t="shared" si="389"/>
        <v>16720</v>
      </c>
      <c r="AM268" s="93">
        <v>1</v>
      </c>
    </row>
    <row r="269" spans="1:39" s="91" customFormat="1" ht="15.6">
      <c r="A269" s="87" t="s">
        <v>92</v>
      </c>
      <c r="B269" s="83" t="s">
        <v>734</v>
      </c>
      <c r="C269" s="100" t="s">
        <v>663</v>
      </c>
      <c r="D269" s="100" t="s">
        <v>970</v>
      </c>
      <c r="E269" s="100" t="s">
        <v>662</v>
      </c>
      <c r="F269" s="83" t="s">
        <v>29</v>
      </c>
      <c r="G269" s="89" t="s">
        <v>380</v>
      </c>
      <c r="H269" s="89" t="s">
        <v>36</v>
      </c>
      <c r="I269" s="108">
        <v>29.5</v>
      </c>
      <c r="J269" s="88" t="s">
        <v>91</v>
      </c>
      <c r="K269" s="38" t="s">
        <v>772</v>
      </c>
      <c r="L269" s="88" t="s">
        <v>34</v>
      </c>
      <c r="M269" s="90" t="s">
        <v>1</v>
      </c>
      <c r="N269" s="84">
        <v>165.87</v>
      </c>
      <c r="O269" s="84">
        <v>165.87</v>
      </c>
      <c r="P269" s="84">
        <v>209.51999999999998</v>
      </c>
      <c r="Q269" s="84">
        <v>174.6</v>
      </c>
      <c r="R269" s="84">
        <v>165.87</v>
      </c>
      <c r="S269" s="84">
        <v>200.79</v>
      </c>
      <c r="T269" s="84">
        <v>174.6</v>
      </c>
      <c r="U269" s="84">
        <v>218.25</v>
      </c>
      <c r="V269" s="84">
        <v>165.87</v>
      </c>
      <c r="W269" s="84">
        <v>157.13999999999999</v>
      </c>
      <c r="X269" s="84">
        <v>218.25</v>
      </c>
      <c r="Y269" s="84">
        <v>165.87</v>
      </c>
      <c r="Z269" s="38"/>
      <c r="AA269" s="37">
        <f t="shared" si="378"/>
        <v>4893.165</v>
      </c>
      <c r="AB269" s="37">
        <f t="shared" si="379"/>
        <v>4893.165</v>
      </c>
      <c r="AC269" s="37">
        <f t="shared" si="380"/>
        <v>6180.8399999999992</v>
      </c>
      <c r="AD269" s="37">
        <f t="shared" si="381"/>
        <v>5150.7</v>
      </c>
      <c r="AE269" s="37">
        <f t="shared" si="382"/>
        <v>4893.165</v>
      </c>
      <c r="AF269" s="37">
        <f t="shared" si="383"/>
        <v>5923.3049999999994</v>
      </c>
      <c r="AG269" s="37">
        <f t="shared" si="384"/>
        <v>5150.7</v>
      </c>
      <c r="AH269" s="37">
        <f t="shared" si="385"/>
        <v>6438.375</v>
      </c>
      <c r="AI269" s="37">
        <f t="shared" si="386"/>
        <v>4893.165</v>
      </c>
      <c r="AJ269" s="37">
        <f t="shared" si="387"/>
        <v>4635.6299999999992</v>
      </c>
      <c r="AK269" s="37">
        <f t="shared" si="388"/>
        <v>6438.375</v>
      </c>
      <c r="AL269" s="37">
        <f t="shared" si="389"/>
        <v>4893.165</v>
      </c>
      <c r="AM269" s="93">
        <v>1</v>
      </c>
    </row>
    <row r="270" spans="1:39" s="91" customFormat="1" ht="15.6">
      <c r="A270" s="87" t="s">
        <v>92</v>
      </c>
      <c r="B270" s="83" t="s">
        <v>734</v>
      </c>
      <c r="C270" s="38" t="s">
        <v>546</v>
      </c>
      <c r="D270" s="38" t="s">
        <v>971</v>
      </c>
      <c r="E270" s="88" t="s">
        <v>94</v>
      </c>
      <c r="F270" s="83" t="s">
        <v>637</v>
      </c>
      <c r="G270" s="83" t="s">
        <v>73</v>
      </c>
      <c r="H270" s="89">
        <v>7</v>
      </c>
      <c r="I270" s="108">
        <v>95</v>
      </c>
      <c r="J270" s="88" t="s">
        <v>91</v>
      </c>
      <c r="K270" s="38" t="s">
        <v>772</v>
      </c>
      <c r="L270" s="38" t="s">
        <v>74</v>
      </c>
      <c r="M270" s="90" t="s">
        <v>2</v>
      </c>
      <c r="N270" s="84">
        <v>171</v>
      </c>
      <c r="O270" s="84">
        <v>80</v>
      </c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38" t="s">
        <v>773</v>
      </c>
      <c r="AA270" s="37">
        <f t="shared" si="378"/>
        <v>16245</v>
      </c>
      <c r="AB270" s="37">
        <f t="shared" si="379"/>
        <v>7600</v>
      </c>
      <c r="AC270" s="37">
        <f t="shared" si="380"/>
        <v>0</v>
      </c>
      <c r="AD270" s="37">
        <f t="shared" si="381"/>
        <v>0</v>
      </c>
      <c r="AE270" s="37">
        <f t="shared" si="382"/>
        <v>0</v>
      </c>
      <c r="AF270" s="37">
        <f t="shared" si="383"/>
        <v>0</v>
      </c>
      <c r="AG270" s="37">
        <f t="shared" si="384"/>
        <v>0</v>
      </c>
      <c r="AH270" s="37">
        <f t="shared" si="385"/>
        <v>0</v>
      </c>
      <c r="AI270" s="37">
        <f t="shared" si="386"/>
        <v>0</v>
      </c>
      <c r="AJ270" s="37">
        <f t="shared" si="387"/>
        <v>0</v>
      </c>
      <c r="AK270" s="37">
        <f t="shared" si="388"/>
        <v>0</v>
      </c>
      <c r="AL270" s="37">
        <f t="shared" si="389"/>
        <v>0</v>
      </c>
      <c r="AM270" s="93">
        <v>1</v>
      </c>
    </row>
    <row r="271" spans="1:39" s="91" customFormat="1" ht="15.6">
      <c r="A271" s="87" t="s">
        <v>92</v>
      </c>
      <c r="B271" s="83" t="s">
        <v>734</v>
      </c>
      <c r="C271" s="38" t="s">
        <v>114</v>
      </c>
      <c r="D271" s="38" t="s">
        <v>972</v>
      </c>
      <c r="E271" s="38" t="s">
        <v>115</v>
      </c>
      <c r="F271" s="83" t="s">
        <v>29</v>
      </c>
      <c r="G271" s="83" t="s">
        <v>30</v>
      </c>
      <c r="H271" s="89" t="s">
        <v>31</v>
      </c>
      <c r="I271" s="108">
        <v>30.5</v>
      </c>
      <c r="J271" s="88" t="s">
        <v>91</v>
      </c>
      <c r="K271" s="38" t="s">
        <v>772</v>
      </c>
      <c r="L271" s="38" t="s">
        <v>34</v>
      </c>
      <c r="M271" s="90" t="s">
        <v>1</v>
      </c>
      <c r="N271" s="84">
        <v>165.87</v>
      </c>
      <c r="O271" s="84">
        <v>165.87</v>
      </c>
      <c r="P271" s="84">
        <v>209.51999999999998</v>
      </c>
      <c r="Q271" s="84">
        <v>165.87</v>
      </c>
      <c r="R271" s="84">
        <v>165.87</v>
      </c>
      <c r="S271" s="84">
        <v>209.51999999999998</v>
      </c>
      <c r="T271" s="84">
        <v>174.6</v>
      </c>
      <c r="U271" s="84">
        <v>218.25</v>
      </c>
      <c r="V271" s="84">
        <v>165.87</v>
      </c>
      <c r="W271" s="84">
        <v>157.13999999999999</v>
      </c>
      <c r="X271" s="84">
        <v>218.25</v>
      </c>
      <c r="Y271" s="84">
        <v>165.87</v>
      </c>
      <c r="Z271" s="38"/>
      <c r="AA271" s="37">
        <f t="shared" si="378"/>
        <v>5059.0349999999999</v>
      </c>
      <c r="AB271" s="37">
        <f t="shared" si="379"/>
        <v>5059.0349999999999</v>
      </c>
      <c r="AC271" s="37">
        <f t="shared" si="380"/>
        <v>6390.36</v>
      </c>
      <c r="AD271" s="37">
        <f t="shared" si="381"/>
        <v>5059.0349999999999</v>
      </c>
      <c r="AE271" s="37">
        <f t="shared" si="382"/>
        <v>5059.0349999999999</v>
      </c>
      <c r="AF271" s="37">
        <f t="shared" si="383"/>
        <v>6390.36</v>
      </c>
      <c r="AG271" s="37">
        <f t="shared" si="384"/>
        <v>5325.3</v>
      </c>
      <c r="AH271" s="37">
        <f t="shared" si="385"/>
        <v>6656.625</v>
      </c>
      <c r="AI271" s="37">
        <f t="shared" si="386"/>
        <v>5059.0349999999999</v>
      </c>
      <c r="AJ271" s="37">
        <f t="shared" si="387"/>
        <v>4792.7699999999995</v>
      </c>
      <c r="AK271" s="37">
        <f t="shared" si="388"/>
        <v>6656.625</v>
      </c>
      <c r="AL271" s="37">
        <f t="shared" si="389"/>
        <v>5059.0349999999999</v>
      </c>
      <c r="AM271" s="93">
        <v>1</v>
      </c>
    </row>
    <row r="272" spans="1:39" s="91" customFormat="1" ht="15.6">
      <c r="A272" s="87" t="s">
        <v>92</v>
      </c>
      <c r="B272" s="83" t="s">
        <v>734</v>
      </c>
      <c r="C272" s="100" t="s">
        <v>96</v>
      </c>
      <c r="D272" s="100" t="s">
        <v>955</v>
      </c>
      <c r="E272" s="100" t="s">
        <v>1109</v>
      </c>
      <c r="F272" s="83" t="s">
        <v>29</v>
      </c>
      <c r="G272" s="89" t="s">
        <v>49</v>
      </c>
      <c r="H272" s="102" t="s">
        <v>60</v>
      </c>
      <c r="I272" s="108">
        <v>19</v>
      </c>
      <c r="J272" s="88" t="s">
        <v>91</v>
      </c>
      <c r="K272" s="38" t="s">
        <v>772</v>
      </c>
      <c r="L272" s="38" t="s">
        <v>34</v>
      </c>
      <c r="M272" s="90" t="s">
        <v>1</v>
      </c>
      <c r="N272" s="84"/>
      <c r="O272" s="84"/>
      <c r="P272" s="84"/>
      <c r="Q272" s="84">
        <v>174.6</v>
      </c>
      <c r="R272" s="84">
        <v>165.87</v>
      </c>
      <c r="S272" s="84">
        <v>200.79</v>
      </c>
      <c r="T272" s="84">
        <v>174.6</v>
      </c>
      <c r="U272" s="84">
        <v>218.25</v>
      </c>
      <c r="V272" s="84">
        <v>165.87</v>
      </c>
      <c r="W272" s="84">
        <v>157.13999999999999</v>
      </c>
      <c r="X272" s="84">
        <v>218.25</v>
      </c>
      <c r="Y272" s="84">
        <v>165.87</v>
      </c>
      <c r="Z272" s="38"/>
      <c r="AA272" s="37">
        <f t="shared" si="378"/>
        <v>0</v>
      </c>
      <c r="AB272" s="37">
        <f t="shared" si="379"/>
        <v>0</v>
      </c>
      <c r="AC272" s="37">
        <f t="shared" si="380"/>
        <v>0</v>
      </c>
      <c r="AD272" s="37">
        <f t="shared" si="381"/>
        <v>3317.4</v>
      </c>
      <c r="AE272" s="37">
        <f t="shared" si="382"/>
        <v>3151.53</v>
      </c>
      <c r="AF272" s="37">
        <f t="shared" si="383"/>
        <v>3815.0099999999998</v>
      </c>
      <c r="AG272" s="37">
        <f t="shared" si="384"/>
        <v>3317.4</v>
      </c>
      <c r="AH272" s="37">
        <f t="shared" si="385"/>
        <v>4146.75</v>
      </c>
      <c r="AI272" s="37">
        <f t="shared" si="386"/>
        <v>3151.53</v>
      </c>
      <c r="AJ272" s="37">
        <f t="shared" si="387"/>
        <v>2985.66</v>
      </c>
      <c r="AK272" s="37">
        <f t="shared" si="388"/>
        <v>4146.75</v>
      </c>
      <c r="AL272" s="37">
        <f t="shared" si="389"/>
        <v>3151.53</v>
      </c>
      <c r="AM272" s="93">
        <v>1</v>
      </c>
    </row>
    <row r="273" spans="1:39" s="91" customFormat="1" ht="15.6">
      <c r="A273" s="87" t="s">
        <v>92</v>
      </c>
      <c r="B273" s="83" t="s">
        <v>734</v>
      </c>
      <c r="C273" s="96" t="s">
        <v>116</v>
      </c>
      <c r="D273" s="96" t="s">
        <v>973</v>
      </c>
      <c r="E273" s="38" t="s">
        <v>117</v>
      </c>
      <c r="F273" s="83" t="s">
        <v>68</v>
      </c>
      <c r="G273" s="89" t="s">
        <v>69</v>
      </c>
      <c r="H273" s="89">
        <v>8</v>
      </c>
      <c r="I273" s="108">
        <v>77</v>
      </c>
      <c r="J273" s="88" t="s">
        <v>91</v>
      </c>
      <c r="K273" s="38" t="s">
        <v>772</v>
      </c>
      <c r="L273" s="88" t="s">
        <v>34</v>
      </c>
      <c r="M273" s="131" t="s">
        <v>1</v>
      </c>
      <c r="N273" s="36">
        <v>165.87</v>
      </c>
      <c r="O273" s="36">
        <v>165.87</v>
      </c>
      <c r="P273" s="36">
        <v>218.25</v>
      </c>
      <c r="Q273" s="36"/>
      <c r="R273" s="36"/>
      <c r="S273" s="36"/>
      <c r="T273" s="36"/>
      <c r="U273" s="36"/>
      <c r="V273" s="36"/>
      <c r="W273" s="36"/>
      <c r="X273" s="36"/>
      <c r="Y273" s="36"/>
      <c r="Z273" s="38"/>
      <c r="AA273" s="37">
        <f t="shared" si="378"/>
        <v>12771.99</v>
      </c>
      <c r="AB273" s="37">
        <f t="shared" si="379"/>
        <v>12771.99</v>
      </c>
      <c r="AC273" s="37">
        <f t="shared" si="380"/>
        <v>16805.25</v>
      </c>
      <c r="AD273" s="37">
        <f t="shared" si="381"/>
        <v>0</v>
      </c>
      <c r="AE273" s="37">
        <f t="shared" si="382"/>
        <v>0</v>
      </c>
      <c r="AF273" s="37">
        <f t="shared" si="383"/>
        <v>0</v>
      </c>
      <c r="AG273" s="37">
        <f t="shared" si="384"/>
        <v>0</v>
      </c>
      <c r="AH273" s="37">
        <f t="shared" si="385"/>
        <v>0</v>
      </c>
      <c r="AI273" s="37">
        <f t="shared" si="386"/>
        <v>0</v>
      </c>
      <c r="AJ273" s="37">
        <f t="shared" si="387"/>
        <v>0</v>
      </c>
      <c r="AK273" s="37">
        <f t="shared" si="388"/>
        <v>0</v>
      </c>
      <c r="AL273" s="37">
        <f t="shared" si="389"/>
        <v>0</v>
      </c>
      <c r="AM273" s="93">
        <v>1</v>
      </c>
    </row>
    <row r="274" spans="1:39" s="46" customFormat="1" ht="15.6">
      <c r="A274" s="39" t="s">
        <v>92</v>
      </c>
      <c r="B274" s="40" t="s">
        <v>734</v>
      </c>
      <c r="C274" s="41" t="s">
        <v>4</v>
      </c>
      <c r="D274" s="41" t="s">
        <v>4</v>
      </c>
      <c r="E274" s="41" t="s">
        <v>4</v>
      </c>
      <c r="F274" s="40" t="s">
        <v>4</v>
      </c>
      <c r="G274" s="40" t="s">
        <v>4</v>
      </c>
      <c r="H274" s="42"/>
      <c r="I274" s="108"/>
      <c r="J274" s="41" t="s">
        <v>4</v>
      </c>
      <c r="K274" s="41" t="s">
        <v>4</v>
      </c>
      <c r="L274" s="41" t="s">
        <v>4</v>
      </c>
      <c r="M274" s="41" t="s">
        <v>4</v>
      </c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2"/>
      <c r="AA274" s="44">
        <f t="shared" ref="AA274:AL274" si="390">((SUMIFS(AA1:AA391, $B$1:$B$391,"RATV0", $F$1:$F$391,"India")*0.15)+SUMIFS(AA1:AA391, $B$1:$B$391,"RATV0", $F$1:$F$391,"PH")*0.15)</f>
        <v>4466.0497500000001</v>
      </c>
      <c r="AB274" s="44">
        <f t="shared" si="390"/>
        <v>4441.1692499999999</v>
      </c>
      <c r="AC274" s="44">
        <f t="shared" si="390"/>
        <v>5685.8490000000002</v>
      </c>
      <c r="AD274" s="44">
        <f t="shared" si="390"/>
        <v>3086.4915000000001</v>
      </c>
      <c r="AE274" s="44">
        <f t="shared" si="390"/>
        <v>2708.2889999999998</v>
      </c>
      <c r="AF274" s="44">
        <f t="shared" si="390"/>
        <v>3016.4332499999996</v>
      </c>
      <c r="AG274" s="44">
        <f t="shared" si="390"/>
        <v>2566.6200000000003</v>
      </c>
      <c r="AH274" s="44">
        <f t="shared" si="390"/>
        <v>3208.2750000000001</v>
      </c>
      <c r="AI274" s="44">
        <f t="shared" si="390"/>
        <v>2438.2889999999998</v>
      </c>
      <c r="AJ274" s="44">
        <f t="shared" si="390"/>
        <v>2309.9579999999996</v>
      </c>
      <c r="AK274" s="44">
        <f t="shared" si="390"/>
        <v>3183.3944999999994</v>
      </c>
      <c r="AL274" s="44">
        <f t="shared" si="390"/>
        <v>2438.2889999999998</v>
      </c>
      <c r="AM274" s="45"/>
    </row>
    <row r="275" spans="1:39" s="46" customFormat="1" ht="15.6">
      <c r="A275" s="39" t="s">
        <v>92</v>
      </c>
      <c r="B275" s="40" t="s">
        <v>734</v>
      </c>
      <c r="C275" s="41" t="s">
        <v>5</v>
      </c>
      <c r="D275" s="41" t="s">
        <v>5</v>
      </c>
      <c r="E275" s="41" t="s">
        <v>5</v>
      </c>
      <c r="F275" s="40" t="s">
        <v>5</v>
      </c>
      <c r="G275" s="40" t="s">
        <v>5</v>
      </c>
      <c r="H275" s="42"/>
      <c r="I275" s="108"/>
      <c r="J275" s="41" t="s">
        <v>5</v>
      </c>
      <c r="K275" s="41" t="s">
        <v>5</v>
      </c>
      <c r="L275" s="41" t="s">
        <v>5</v>
      </c>
      <c r="M275" s="41" t="s">
        <v>5</v>
      </c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2"/>
      <c r="AA275" s="44">
        <v>2000</v>
      </c>
      <c r="AB275" s="44">
        <v>2000</v>
      </c>
      <c r="AC275" s="44">
        <v>2200</v>
      </c>
      <c r="AD275" s="44">
        <v>2000</v>
      </c>
      <c r="AE275" s="44">
        <v>2000</v>
      </c>
      <c r="AF275" s="44">
        <v>2200</v>
      </c>
      <c r="AG275" s="44">
        <v>2000</v>
      </c>
      <c r="AH275" s="44">
        <v>2200</v>
      </c>
      <c r="AI275" s="44">
        <v>2000</v>
      </c>
      <c r="AJ275" s="44">
        <v>2000</v>
      </c>
      <c r="AK275" s="44">
        <v>2200</v>
      </c>
      <c r="AL275" s="44">
        <v>2000</v>
      </c>
      <c r="AM275" s="45"/>
    </row>
    <row r="276" spans="1:39" s="46" customFormat="1" ht="15.6">
      <c r="A276" s="39" t="s">
        <v>92</v>
      </c>
      <c r="B276" s="40" t="s">
        <v>734</v>
      </c>
      <c r="C276" s="41" t="s">
        <v>6</v>
      </c>
      <c r="D276" s="41" t="s">
        <v>6</v>
      </c>
      <c r="E276" s="41" t="s">
        <v>6</v>
      </c>
      <c r="F276" s="40" t="s">
        <v>6</v>
      </c>
      <c r="G276" s="40" t="s">
        <v>6</v>
      </c>
      <c r="H276" s="42"/>
      <c r="I276" s="108"/>
      <c r="J276" s="41" t="s">
        <v>6</v>
      </c>
      <c r="K276" s="41" t="s">
        <v>6</v>
      </c>
      <c r="L276" s="41" t="s">
        <v>6</v>
      </c>
      <c r="M276" s="41" t="s">
        <v>6</v>
      </c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2"/>
      <c r="AA276" s="44">
        <f>(54*5*4*0.6)</f>
        <v>648</v>
      </c>
      <c r="AB276" s="44">
        <f>(54*5*4*0.6)</f>
        <v>648</v>
      </c>
      <c r="AC276" s="44">
        <f>(54*5*5*0.6)</f>
        <v>810</v>
      </c>
      <c r="AD276" s="44">
        <f>(54*5*4*0.6)</f>
        <v>648</v>
      </c>
      <c r="AE276" s="44">
        <f>(54*5*4*0.6)</f>
        <v>648</v>
      </c>
      <c r="AF276" s="44">
        <f>(54*5*5*0.6)</f>
        <v>810</v>
      </c>
      <c r="AG276" s="44">
        <f>(54*5*4*0.6)</f>
        <v>648</v>
      </c>
      <c r="AH276" s="44">
        <f>(54*5*5*0.6)</f>
        <v>810</v>
      </c>
      <c r="AI276" s="44">
        <f>(54*5*4*0.6)</f>
        <v>648</v>
      </c>
      <c r="AJ276" s="44">
        <f>(54*5*4*0.6)</f>
        <v>648</v>
      </c>
      <c r="AK276" s="44">
        <f>(54*5*5*0.6)</f>
        <v>810</v>
      </c>
      <c r="AL276" s="44">
        <f>(54*5*4*0.6)</f>
        <v>648</v>
      </c>
      <c r="AM276" s="45"/>
    </row>
    <row r="277" spans="1:39" s="91" customFormat="1" ht="15.6">
      <c r="A277" s="87" t="s">
        <v>92</v>
      </c>
      <c r="B277" s="83" t="s">
        <v>764</v>
      </c>
      <c r="C277" s="88" t="s">
        <v>489</v>
      </c>
      <c r="D277" s="88" t="s">
        <v>974</v>
      </c>
      <c r="E277" s="38" t="s">
        <v>358</v>
      </c>
      <c r="F277" s="83" t="s">
        <v>29</v>
      </c>
      <c r="G277" s="83" t="s">
        <v>353</v>
      </c>
      <c r="H277" s="89" t="s">
        <v>60</v>
      </c>
      <c r="I277" s="108">
        <v>19</v>
      </c>
      <c r="J277" s="88" t="s">
        <v>125</v>
      </c>
      <c r="K277" s="88" t="s">
        <v>1063</v>
      </c>
      <c r="L277" s="38" t="s">
        <v>34</v>
      </c>
      <c r="M277" s="90" t="s">
        <v>1</v>
      </c>
      <c r="N277" s="84">
        <v>165.87</v>
      </c>
      <c r="O277" s="84">
        <v>165.87</v>
      </c>
      <c r="P277" s="84">
        <v>209.51999999999998</v>
      </c>
      <c r="Q277" s="84">
        <v>174.6</v>
      </c>
      <c r="R277" s="84">
        <v>165.87</v>
      </c>
      <c r="S277" s="84">
        <v>200.79</v>
      </c>
      <c r="T277" s="84">
        <v>174.6</v>
      </c>
      <c r="U277" s="84">
        <v>218.25</v>
      </c>
      <c r="V277" s="84">
        <v>165.87</v>
      </c>
      <c r="W277" s="84">
        <v>157.13999999999999</v>
      </c>
      <c r="X277" s="84">
        <v>218.25</v>
      </c>
      <c r="Y277" s="84">
        <v>165.87</v>
      </c>
      <c r="Z277" s="123"/>
      <c r="AA277" s="37">
        <f t="shared" ref="AA277:AA280" si="391">$I277*N277</f>
        <v>3151.53</v>
      </c>
      <c r="AB277" s="37">
        <f t="shared" ref="AB277:AB280" si="392">$I277*O277</f>
        <v>3151.53</v>
      </c>
      <c r="AC277" s="37">
        <f t="shared" ref="AC277:AC280" si="393">$I277*P277</f>
        <v>3980.8799999999997</v>
      </c>
      <c r="AD277" s="37">
        <f t="shared" ref="AD277:AD280" si="394">$I277*Q277</f>
        <v>3317.4</v>
      </c>
      <c r="AE277" s="37">
        <f t="shared" ref="AE277:AE280" si="395">$I277*R277</f>
        <v>3151.53</v>
      </c>
      <c r="AF277" s="37">
        <f t="shared" ref="AF277:AF280" si="396">$I277*S277</f>
        <v>3815.0099999999998</v>
      </c>
      <c r="AG277" s="37">
        <f t="shared" ref="AG277:AG280" si="397">$I277*T277</f>
        <v>3317.4</v>
      </c>
      <c r="AH277" s="37">
        <f t="shared" ref="AH277:AH280" si="398">$I277*U277</f>
        <v>4146.75</v>
      </c>
      <c r="AI277" s="37">
        <f t="shared" ref="AI277:AI280" si="399">$I277*V277</f>
        <v>3151.53</v>
      </c>
      <c r="AJ277" s="37">
        <f t="shared" ref="AJ277:AJ280" si="400">$I277*W277</f>
        <v>2985.66</v>
      </c>
      <c r="AK277" s="37">
        <f t="shared" ref="AK277:AK280" si="401">$I277*X277</f>
        <v>4146.75</v>
      </c>
      <c r="AL277" s="37">
        <f t="shared" ref="AL277:AL280" si="402">$I277*Y277</f>
        <v>3151.53</v>
      </c>
      <c r="AM277" s="120">
        <v>1</v>
      </c>
    </row>
    <row r="278" spans="1:39" s="91" customFormat="1" ht="15.6">
      <c r="A278" s="87" t="s">
        <v>92</v>
      </c>
      <c r="B278" s="83" t="s">
        <v>764</v>
      </c>
      <c r="C278" s="88" t="s">
        <v>757</v>
      </c>
      <c r="D278" s="88" t="s">
        <v>784</v>
      </c>
      <c r="E278" s="38" t="s">
        <v>755</v>
      </c>
      <c r="F278" s="83" t="s">
        <v>29</v>
      </c>
      <c r="G278" s="83" t="s">
        <v>90</v>
      </c>
      <c r="H278" s="89" t="s">
        <v>101</v>
      </c>
      <c r="I278" s="108">
        <v>14</v>
      </c>
      <c r="J278" s="88" t="s">
        <v>125</v>
      </c>
      <c r="K278" s="88" t="s">
        <v>1063</v>
      </c>
      <c r="L278" s="38" t="s">
        <v>34</v>
      </c>
      <c r="M278" s="90" t="s">
        <v>1</v>
      </c>
      <c r="N278" s="36"/>
      <c r="O278" s="36">
        <f t="shared" ref="O278:O279" si="403">165.87-45</f>
        <v>120.87</v>
      </c>
      <c r="P278" s="36">
        <v>200.79</v>
      </c>
      <c r="Q278" s="36">
        <v>174.6</v>
      </c>
      <c r="R278" s="36">
        <v>165.87</v>
      </c>
      <c r="S278" s="36">
        <v>209.51999999999998</v>
      </c>
      <c r="T278" s="36">
        <v>174.6</v>
      </c>
      <c r="U278" s="36">
        <v>218.25</v>
      </c>
      <c r="V278" s="36">
        <v>165.87</v>
      </c>
      <c r="W278" s="36">
        <v>157.13999999999999</v>
      </c>
      <c r="X278" s="36">
        <v>209.51999999999998</v>
      </c>
      <c r="Y278" s="36">
        <v>165.87</v>
      </c>
      <c r="Z278" s="123" t="s">
        <v>721</v>
      </c>
      <c r="AA278" s="37">
        <f t="shared" si="391"/>
        <v>0</v>
      </c>
      <c r="AB278" s="37">
        <f t="shared" si="392"/>
        <v>1692.18</v>
      </c>
      <c r="AC278" s="37">
        <f t="shared" si="393"/>
        <v>2811.06</v>
      </c>
      <c r="AD278" s="37">
        <f t="shared" si="394"/>
        <v>2444.4</v>
      </c>
      <c r="AE278" s="37">
        <f t="shared" si="395"/>
        <v>2322.1800000000003</v>
      </c>
      <c r="AF278" s="37">
        <f t="shared" si="396"/>
        <v>2933.2799999999997</v>
      </c>
      <c r="AG278" s="37">
        <f t="shared" si="397"/>
        <v>2444.4</v>
      </c>
      <c r="AH278" s="37">
        <f t="shared" si="398"/>
        <v>3055.5</v>
      </c>
      <c r="AI278" s="37">
        <f t="shared" si="399"/>
        <v>2322.1800000000003</v>
      </c>
      <c r="AJ278" s="37">
        <f t="shared" si="400"/>
        <v>2199.96</v>
      </c>
      <c r="AK278" s="37">
        <f t="shared" si="401"/>
        <v>2933.2799999999997</v>
      </c>
      <c r="AL278" s="37">
        <f t="shared" si="402"/>
        <v>2322.1800000000003</v>
      </c>
      <c r="AM278" s="120">
        <v>1</v>
      </c>
    </row>
    <row r="279" spans="1:39" s="91" customFormat="1" ht="15.6">
      <c r="A279" s="87" t="s">
        <v>92</v>
      </c>
      <c r="B279" s="83" t="s">
        <v>764</v>
      </c>
      <c r="C279" s="88" t="s">
        <v>758</v>
      </c>
      <c r="D279" s="88" t="s">
        <v>785</v>
      </c>
      <c r="E279" s="38" t="s">
        <v>756</v>
      </c>
      <c r="F279" s="83" t="s">
        <v>29</v>
      </c>
      <c r="G279" s="83" t="s">
        <v>90</v>
      </c>
      <c r="H279" s="89" t="s">
        <v>101</v>
      </c>
      <c r="I279" s="108">
        <v>14</v>
      </c>
      <c r="J279" s="88" t="s">
        <v>125</v>
      </c>
      <c r="K279" s="88" t="s">
        <v>1063</v>
      </c>
      <c r="L279" s="38" t="s">
        <v>34</v>
      </c>
      <c r="M279" s="90" t="s">
        <v>1</v>
      </c>
      <c r="N279" s="36"/>
      <c r="O279" s="36">
        <f t="shared" si="403"/>
        <v>120.87</v>
      </c>
      <c r="P279" s="36">
        <v>200.79</v>
      </c>
      <c r="Q279" s="36">
        <v>174.6</v>
      </c>
      <c r="R279" s="36">
        <v>165.87</v>
      </c>
      <c r="S279" s="36">
        <v>209.51999999999998</v>
      </c>
      <c r="T279" s="36">
        <v>174.6</v>
      </c>
      <c r="U279" s="36">
        <v>218.25</v>
      </c>
      <c r="V279" s="36">
        <v>165.87</v>
      </c>
      <c r="W279" s="36">
        <v>157.13999999999999</v>
      </c>
      <c r="X279" s="36">
        <v>209.51999999999998</v>
      </c>
      <c r="Y279" s="36">
        <v>165.87</v>
      </c>
      <c r="Z279" s="123" t="s">
        <v>721</v>
      </c>
      <c r="AA279" s="37">
        <f t="shared" si="391"/>
        <v>0</v>
      </c>
      <c r="AB279" s="37">
        <f t="shared" si="392"/>
        <v>1692.18</v>
      </c>
      <c r="AC279" s="37">
        <f t="shared" si="393"/>
        <v>2811.06</v>
      </c>
      <c r="AD279" s="37">
        <f t="shared" si="394"/>
        <v>2444.4</v>
      </c>
      <c r="AE279" s="37">
        <f t="shared" si="395"/>
        <v>2322.1800000000003</v>
      </c>
      <c r="AF279" s="37">
        <f t="shared" si="396"/>
        <v>2933.2799999999997</v>
      </c>
      <c r="AG279" s="37">
        <f t="shared" si="397"/>
        <v>2444.4</v>
      </c>
      <c r="AH279" s="37">
        <f t="shared" si="398"/>
        <v>3055.5</v>
      </c>
      <c r="AI279" s="37">
        <f t="shared" si="399"/>
        <v>2322.1800000000003</v>
      </c>
      <c r="AJ279" s="37">
        <f t="shared" si="400"/>
        <v>2199.96</v>
      </c>
      <c r="AK279" s="37">
        <f t="shared" si="401"/>
        <v>2933.2799999999997</v>
      </c>
      <c r="AL279" s="37">
        <f t="shared" si="402"/>
        <v>2322.1800000000003</v>
      </c>
      <c r="AM279" s="120">
        <v>1</v>
      </c>
    </row>
    <row r="280" spans="1:39" s="91" customFormat="1" ht="15.6">
      <c r="A280" s="87" t="s">
        <v>92</v>
      </c>
      <c r="B280" s="83" t="s">
        <v>764</v>
      </c>
      <c r="C280" s="88" t="s">
        <v>484</v>
      </c>
      <c r="D280" s="88" t="s">
        <v>981</v>
      </c>
      <c r="E280" s="38" t="s">
        <v>349</v>
      </c>
      <c r="F280" s="83" t="s">
        <v>29</v>
      </c>
      <c r="G280" s="83" t="s">
        <v>350</v>
      </c>
      <c r="H280" s="89" t="s">
        <v>44</v>
      </c>
      <c r="I280" s="108">
        <v>17</v>
      </c>
      <c r="J280" s="88" t="s">
        <v>125</v>
      </c>
      <c r="K280" s="88" t="s">
        <v>1063</v>
      </c>
      <c r="L280" s="38" t="s">
        <v>34</v>
      </c>
      <c r="M280" s="90" t="s">
        <v>1</v>
      </c>
      <c r="N280" s="36">
        <v>166</v>
      </c>
      <c r="O280" s="84">
        <v>166</v>
      </c>
      <c r="P280" s="84">
        <v>209.51999999999998</v>
      </c>
      <c r="Q280" s="84">
        <v>174.6</v>
      </c>
      <c r="R280" s="84">
        <v>165.87</v>
      </c>
      <c r="S280" s="84">
        <v>200.79</v>
      </c>
      <c r="T280" s="84">
        <v>174.6</v>
      </c>
      <c r="U280" s="84">
        <v>218.25</v>
      </c>
      <c r="V280" s="84">
        <v>165.87</v>
      </c>
      <c r="W280" s="84">
        <v>157.13999999999999</v>
      </c>
      <c r="X280" s="84">
        <v>218.25</v>
      </c>
      <c r="Y280" s="84">
        <v>165.87</v>
      </c>
      <c r="Z280" s="123"/>
      <c r="AA280" s="37">
        <f t="shared" si="391"/>
        <v>2822</v>
      </c>
      <c r="AB280" s="37">
        <f t="shared" si="392"/>
        <v>2822</v>
      </c>
      <c r="AC280" s="37">
        <f t="shared" si="393"/>
        <v>3561.8399999999997</v>
      </c>
      <c r="AD280" s="37">
        <f t="shared" si="394"/>
        <v>2968.2</v>
      </c>
      <c r="AE280" s="37">
        <f t="shared" si="395"/>
        <v>2819.79</v>
      </c>
      <c r="AF280" s="37">
        <f t="shared" si="396"/>
        <v>3413.43</v>
      </c>
      <c r="AG280" s="37">
        <f t="shared" si="397"/>
        <v>2968.2</v>
      </c>
      <c r="AH280" s="37">
        <f t="shared" si="398"/>
        <v>3710.25</v>
      </c>
      <c r="AI280" s="37">
        <f t="shared" si="399"/>
        <v>2819.79</v>
      </c>
      <c r="AJ280" s="37">
        <f t="shared" si="400"/>
        <v>2671.3799999999997</v>
      </c>
      <c r="AK280" s="37">
        <f t="shared" si="401"/>
        <v>3710.25</v>
      </c>
      <c r="AL280" s="37">
        <f t="shared" si="402"/>
        <v>2819.79</v>
      </c>
      <c r="AM280" s="120">
        <v>1</v>
      </c>
    </row>
    <row r="281" spans="1:39" s="91" customFormat="1" ht="15.6">
      <c r="A281" s="87" t="s">
        <v>92</v>
      </c>
      <c r="B281" s="83" t="s">
        <v>764</v>
      </c>
      <c r="C281" s="88" t="s">
        <v>1209</v>
      </c>
      <c r="D281" s="88" t="s">
        <v>1208</v>
      </c>
      <c r="E281" s="100" t="s">
        <v>1179</v>
      </c>
      <c r="F281" s="83" t="s">
        <v>112</v>
      </c>
      <c r="G281" s="83" t="s">
        <v>73</v>
      </c>
      <c r="H281" s="89">
        <v>6</v>
      </c>
      <c r="I281" s="108">
        <v>63.5</v>
      </c>
      <c r="J281" s="88" t="s">
        <v>125</v>
      </c>
      <c r="K281" s="88" t="s">
        <v>1063</v>
      </c>
      <c r="L281" s="38" t="s">
        <v>34</v>
      </c>
      <c r="M281" s="90" t="s">
        <v>1</v>
      </c>
      <c r="N281" s="84"/>
      <c r="O281" s="84"/>
      <c r="P281" s="84"/>
      <c r="Q281" s="84"/>
      <c r="R281" s="84"/>
      <c r="S281" s="84">
        <f>200-40</f>
        <v>160</v>
      </c>
      <c r="T281" s="84">
        <v>152</v>
      </c>
      <c r="U281" s="84">
        <v>192</v>
      </c>
      <c r="V281" s="84">
        <v>152</v>
      </c>
      <c r="W281" s="84">
        <v>152</v>
      </c>
      <c r="X281" s="84">
        <v>192</v>
      </c>
      <c r="Y281" s="84">
        <v>152</v>
      </c>
      <c r="Z281" s="123"/>
      <c r="AA281" s="37">
        <f t="shared" ref="AA281:AL282" si="404">$I281*N281</f>
        <v>0</v>
      </c>
      <c r="AB281" s="37">
        <f t="shared" si="404"/>
        <v>0</v>
      </c>
      <c r="AC281" s="37">
        <f t="shared" si="404"/>
        <v>0</v>
      </c>
      <c r="AD281" s="37">
        <f t="shared" si="404"/>
        <v>0</v>
      </c>
      <c r="AE281" s="37">
        <f t="shared" si="404"/>
        <v>0</v>
      </c>
      <c r="AF281" s="37">
        <f t="shared" si="404"/>
        <v>10160</v>
      </c>
      <c r="AG281" s="37">
        <f t="shared" si="404"/>
        <v>9652</v>
      </c>
      <c r="AH281" s="37">
        <f t="shared" si="404"/>
        <v>12192</v>
      </c>
      <c r="AI281" s="37">
        <f t="shared" si="404"/>
        <v>9652</v>
      </c>
      <c r="AJ281" s="37">
        <f t="shared" si="404"/>
        <v>9652</v>
      </c>
      <c r="AK281" s="37">
        <f t="shared" si="404"/>
        <v>12192</v>
      </c>
      <c r="AL281" s="37">
        <f t="shared" si="404"/>
        <v>9652</v>
      </c>
      <c r="AM281" s="103">
        <v>1</v>
      </c>
    </row>
    <row r="282" spans="1:39" s="91" customFormat="1" ht="15.6">
      <c r="A282" s="87" t="s">
        <v>92</v>
      </c>
      <c r="B282" s="83" t="s">
        <v>764</v>
      </c>
      <c r="C282" s="88" t="s">
        <v>1211</v>
      </c>
      <c r="D282" s="88" t="s">
        <v>1210</v>
      </c>
      <c r="E282" s="100" t="s">
        <v>1177</v>
      </c>
      <c r="F282" s="83" t="s">
        <v>112</v>
      </c>
      <c r="G282" s="83" t="s">
        <v>73</v>
      </c>
      <c r="H282" s="89">
        <v>9</v>
      </c>
      <c r="I282" s="108">
        <v>333.5</v>
      </c>
      <c r="J282" s="88" t="s">
        <v>125</v>
      </c>
      <c r="K282" s="88" t="s">
        <v>1178</v>
      </c>
      <c r="L282" s="38" t="s">
        <v>34</v>
      </c>
      <c r="M282" s="90" t="s">
        <v>1</v>
      </c>
      <c r="N282" s="84"/>
      <c r="O282" s="84"/>
      <c r="P282" s="84"/>
      <c r="Q282" s="84"/>
      <c r="R282" s="84"/>
      <c r="S282" s="84">
        <v>10</v>
      </c>
      <c r="T282" s="84">
        <v>10</v>
      </c>
      <c r="U282" s="84">
        <v>10</v>
      </c>
      <c r="V282" s="84">
        <v>10</v>
      </c>
      <c r="W282" s="84">
        <v>10</v>
      </c>
      <c r="X282" s="84">
        <v>10</v>
      </c>
      <c r="Y282" s="84">
        <v>10</v>
      </c>
      <c r="Z282" s="123"/>
      <c r="AA282" s="37">
        <f t="shared" si="404"/>
        <v>0</v>
      </c>
      <c r="AB282" s="37">
        <f t="shared" si="404"/>
        <v>0</v>
      </c>
      <c r="AC282" s="37">
        <f t="shared" si="404"/>
        <v>0</v>
      </c>
      <c r="AD282" s="37">
        <f t="shared" si="404"/>
        <v>0</v>
      </c>
      <c r="AE282" s="37">
        <f t="shared" si="404"/>
        <v>0</v>
      </c>
      <c r="AF282" s="37">
        <f t="shared" si="404"/>
        <v>3335</v>
      </c>
      <c r="AG282" s="37">
        <f t="shared" si="404"/>
        <v>3335</v>
      </c>
      <c r="AH282" s="37">
        <f t="shared" si="404"/>
        <v>3335</v>
      </c>
      <c r="AI282" s="37">
        <f t="shared" si="404"/>
        <v>3335</v>
      </c>
      <c r="AJ282" s="37">
        <f t="shared" si="404"/>
        <v>3335</v>
      </c>
      <c r="AK282" s="37">
        <f t="shared" si="404"/>
        <v>3335</v>
      </c>
      <c r="AL282" s="37">
        <f t="shared" si="404"/>
        <v>3335</v>
      </c>
      <c r="AM282" s="103">
        <v>1</v>
      </c>
    </row>
    <row r="283" spans="1:39" s="46" customFormat="1" ht="15.6">
      <c r="A283" s="39" t="s">
        <v>92</v>
      </c>
      <c r="B283" s="40" t="s">
        <v>764</v>
      </c>
      <c r="C283" s="41" t="s">
        <v>4</v>
      </c>
      <c r="D283" s="41" t="s">
        <v>4</v>
      </c>
      <c r="E283" s="41" t="s">
        <v>4</v>
      </c>
      <c r="F283" s="40" t="s">
        <v>4</v>
      </c>
      <c r="G283" s="40" t="s">
        <v>4</v>
      </c>
      <c r="H283" s="42"/>
      <c r="I283" s="108"/>
      <c r="J283" s="41" t="s">
        <v>4</v>
      </c>
      <c r="K283" s="41" t="s">
        <v>4</v>
      </c>
      <c r="L283" s="41" t="s">
        <v>4</v>
      </c>
      <c r="M283" s="41" t="s">
        <v>4</v>
      </c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2"/>
      <c r="AA283" s="44">
        <f t="shared" ref="AA283:AL283" si="405">((SUMIFS(AA1:AA391, $B$1:$B$391,"RATV5", $F$1:$F$391,"India")*0.15)+SUMIFS(AA1:AA391, $B$1:$B$391,"RATV5", $F$1:$F$391,"PH")*0.15)</f>
        <v>896.0295000000001</v>
      </c>
      <c r="AB283" s="44">
        <f t="shared" si="405"/>
        <v>1403.6834999999999</v>
      </c>
      <c r="AC283" s="44">
        <f t="shared" si="405"/>
        <v>1974.7259999999999</v>
      </c>
      <c r="AD283" s="44">
        <f t="shared" si="405"/>
        <v>1676.16</v>
      </c>
      <c r="AE283" s="44">
        <f t="shared" si="405"/>
        <v>1592.3520000000001</v>
      </c>
      <c r="AF283" s="44">
        <f t="shared" si="405"/>
        <v>1964.25</v>
      </c>
      <c r="AG283" s="44">
        <f t="shared" si="405"/>
        <v>1676.16</v>
      </c>
      <c r="AH283" s="44">
        <f t="shared" si="405"/>
        <v>2095.1999999999998</v>
      </c>
      <c r="AI283" s="44">
        <f t="shared" si="405"/>
        <v>1592.3520000000001</v>
      </c>
      <c r="AJ283" s="44">
        <f t="shared" si="405"/>
        <v>1508.5439999999999</v>
      </c>
      <c r="AK283" s="44">
        <f t="shared" si="405"/>
        <v>2058.5339999999997</v>
      </c>
      <c r="AL283" s="44">
        <f t="shared" si="405"/>
        <v>1592.3520000000001</v>
      </c>
      <c r="AM283" s="45"/>
    </row>
    <row r="284" spans="1:39" s="46" customFormat="1" ht="15.6">
      <c r="A284" s="39" t="s">
        <v>92</v>
      </c>
      <c r="B284" s="40" t="s">
        <v>764</v>
      </c>
      <c r="C284" s="41" t="s">
        <v>5</v>
      </c>
      <c r="D284" s="41" t="s">
        <v>5</v>
      </c>
      <c r="E284" s="41" t="s">
        <v>5</v>
      </c>
      <c r="F284" s="40" t="s">
        <v>5</v>
      </c>
      <c r="G284" s="40" t="s">
        <v>5</v>
      </c>
      <c r="H284" s="42"/>
      <c r="I284" s="108"/>
      <c r="J284" s="41" t="s">
        <v>5</v>
      </c>
      <c r="K284" s="41" t="s">
        <v>5</v>
      </c>
      <c r="L284" s="41" t="s">
        <v>5</v>
      </c>
      <c r="M284" s="41" t="s">
        <v>5</v>
      </c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2"/>
      <c r="AA284" s="44">
        <v>2000</v>
      </c>
      <c r="AB284" s="44">
        <v>2000</v>
      </c>
      <c r="AC284" s="44">
        <v>2200</v>
      </c>
      <c r="AD284" s="44">
        <v>2000</v>
      </c>
      <c r="AE284" s="44">
        <v>2000</v>
      </c>
      <c r="AF284" s="44">
        <v>2200</v>
      </c>
      <c r="AG284" s="44">
        <v>2000</v>
      </c>
      <c r="AH284" s="44">
        <v>2200</v>
      </c>
      <c r="AI284" s="44">
        <v>2000</v>
      </c>
      <c r="AJ284" s="44">
        <v>2000</v>
      </c>
      <c r="AK284" s="44">
        <v>2200</v>
      </c>
      <c r="AL284" s="44">
        <v>2000</v>
      </c>
      <c r="AM284" s="45"/>
    </row>
    <row r="285" spans="1:39" s="46" customFormat="1" ht="15.6">
      <c r="A285" s="39" t="s">
        <v>92</v>
      </c>
      <c r="B285" s="40" t="s">
        <v>764</v>
      </c>
      <c r="C285" s="41" t="s">
        <v>6</v>
      </c>
      <c r="D285" s="41" t="s">
        <v>6</v>
      </c>
      <c r="E285" s="41" t="s">
        <v>6</v>
      </c>
      <c r="F285" s="40" t="s">
        <v>6</v>
      </c>
      <c r="G285" s="40" t="s">
        <v>6</v>
      </c>
      <c r="H285" s="42"/>
      <c r="I285" s="108"/>
      <c r="J285" s="41" t="s">
        <v>6</v>
      </c>
      <c r="K285" s="41" t="s">
        <v>6</v>
      </c>
      <c r="L285" s="41" t="s">
        <v>6</v>
      </c>
      <c r="M285" s="41" t="s">
        <v>6</v>
      </c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2"/>
      <c r="AA285" s="44">
        <f>(54*2*4*0.6)</f>
        <v>259.2</v>
      </c>
      <c r="AB285" s="44">
        <f>(54*2*4*0.6)</f>
        <v>259.2</v>
      </c>
      <c r="AC285" s="44">
        <f>(54*2*5*0.6)</f>
        <v>324</v>
      </c>
      <c r="AD285" s="44">
        <f t="shared" ref="AD285:AG285" si="406">(54*2*4*0.6)</f>
        <v>259.2</v>
      </c>
      <c r="AE285" s="44">
        <f t="shared" si="406"/>
        <v>259.2</v>
      </c>
      <c r="AF285" s="44">
        <f>(54*2*5*0.6)</f>
        <v>324</v>
      </c>
      <c r="AG285" s="44">
        <f t="shared" si="406"/>
        <v>259.2</v>
      </c>
      <c r="AH285" s="44">
        <f>(54*2*5*0.6)</f>
        <v>324</v>
      </c>
      <c r="AI285" s="44">
        <f t="shared" ref="AI285:AL285" si="407">(54*2*4*0.6)</f>
        <v>259.2</v>
      </c>
      <c r="AJ285" s="44">
        <f t="shared" si="407"/>
        <v>259.2</v>
      </c>
      <c r="AK285" s="44">
        <f>(54*2*5*0.6)</f>
        <v>324</v>
      </c>
      <c r="AL285" s="44">
        <f t="shared" si="407"/>
        <v>259.2</v>
      </c>
      <c r="AM285" s="45"/>
    </row>
    <row r="286" spans="1:39" s="91" customFormat="1" ht="15.6">
      <c r="A286" s="96" t="s">
        <v>336</v>
      </c>
      <c r="B286" s="83" t="s">
        <v>89</v>
      </c>
      <c r="C286" s="38" t="s">
        <v>27</v>
      </c>
      <c r="D286" s="38" t="s">
        <v>975</v>
      </c>
      <c r="E286" s="88" t="s">
        <v>28</v>
      </c>
      <c r="F286" s="89" t="s">
        <v>29</v>
      </c>
      <c r="G286" s="83" t="s">
        <v>30</v>
      </c>
      <c r="H286" s="83" t="s">
        <v>31</v>
      </c>
      <c r="I286" s="108">
        <v>30.5</v>
      </c>
      <c r="J286" s="88" t="s">
        <v>32</v>
      </c>
      <c r="K286" s="38" t="s">
        <v>33</v>
      </c>
      <c r="L286" s="38" t="s">
        <v>34</v>
      </c>
      <c r="M286" s="90" t="s">
        <v>1</v>
      </c>
      <c r="N286" s="84">
        <v>165.87</v>
      </c>
      <c r="O286" s="84">
        <v>165.87</v>
      </c>
      <c r="P286" s="84">
        <v>209.51999999999998</v>
      </c>
      <c r="Q286" s="84">
        <v>165.87</v>
      </c>
      <c r="R286" s="84">
        <v>159.03</v>
      </c>
      <c r="S286" s="84">
        <v>209.25</v>
      </c>
      <c r="T286" s="84">
        <v>167.4</v>
      </c>
      <c r="U286" s="84">
        <v>209.25</v>
      </c>
      <c r="V286" s="84">
        <v>159.03</v>
      </c>
      <c r="W286" s="84">
        <v>150.66</v>
      </c>
      <c r="X286" s="84">
        <v>209.25</v>
      </c>
      <c r="Y286" s="84">
        <v>159.03</v>
      </c>
      <c r="Z286" s="85"/>
      <c r="AA286" s="37">
        <f t="shared" ref="AA286:AA351" si="408">$I286*N286</f>
        <v>5059.0349999999999</v>
      </c>
      <c r="AB286" s="37">
        <f t="shared" ref="AB286:AB351" si="409">$I286*O286</f>
        <v>5059.0349999999999</v>
      </c>
      <c r="AC286" s="37">
        <f t="shared" ref="AC286:AC351" si="410">$I286*P286</f>
        <v>6390.36</v>
      </c>
      <c r="AD286" s="37">
        <f t="shared" ref="AD286:AD351" si="411">$I286*Q286</f>
        <v>5059.0349999999999</v>
      </c>
      <c r="AE286" s="37">
        <f t="shared" ref="AE286:AE351" si="412">$I286*R286</f>
        <v>4850.415</v>
      </c>
      <c r="AF286" s="37">
        <f t="shared" ref="AF286:AF351" si="413">$I286*S286</f>
        <v>6382.125</v>
      </c>
      <c r="AG286" s="37">
        <f t="shared" ref="AG286:AG351" si="414">$I286*T286</f>
        <v>5105.7</v>
      </c>
      <c r="AH286" s="37">
        <f t="shared" ref="AH286:AH351" si="415">$I286*U286</f>
        <v>6382.125</v>
      </c>
      <c r="AI286" s="37">
        <f t="shared" ref="AI286:AI351" si="416">$I286*V286</f>
        <v>4850.415</v>
      </c>
      <c r="AJ286" s="37">
        <f t="shared" ref="AJ286:AJ351" si="417">$I286*W286</f>
        <v>4595.13</v>
      </c>
      <c r="AK286" s="37">
        <f t="shared" ref="AK286:AK351" si="418">$I286*X286</f>
        <v>6382.125</v>
      </c>
      <c r="AL286" s="37">
        <f t="shared" ref="AL286:AL351" si="419">$I286*Y286</f>
        <v>4850.415</v>
      </c>
      <c r="AM286" s="94">
        <v>1</v>
      </c>
    </row>
    <row r="287" spans="1:39" s="91" customFormat="1" ht="15.6">
      <c r="A287" s="96" t="s">
        <v>336</v>
      </c>
      <c r="B287" s="83" t="s">
        <v>89</v>
      </c>
      <c r="C287" s="88" t="s">
        <v>40</v>
      </c>
      <c r="D287" s="88" t="s">
        <v>976</v>
      </c>
      <c r="E287" s="88" t="s">
        <v>32</v>
      </c>
      <c r="F287" s="83" t="s">
        <v>29</v>
      </c>
      <c r="G287" s="83" t="s">
        <v>41</v>
      </c>
      <c r="H287" s="89" t="s">
        <v>31</v>
      </c>
      <c r="I287" s="108">
        <v>30.5</v>
      </c>
      <c r="J287" s="88" t="s">
        <v>32</v>
      </c>
      <c r="K287" s="38" t="s">
        <v>33</v>
      </c>
      <c r="L287" s="38" t="s">
        <v>34</v>
      </c>
      <c r="M287" s="90" t="s">
        <v>1</v>
      </c>
      <c r="N287" s="84">
        <v>165.87</v>
      </c>
      <c r="O287" s="84">
        <v>165.87</v>
      </c>
      <c r="P287" s="84">
        <v>209.51999999999998</v>
      </c>
      <c r="Q287" s="84">
        <v>174.6</v>
      </c>
      <c r="R287" s="84">
        <v>159.03</v>
      </c>
      <c r="S287" s="84">
        <v>209.25</v>
      </c>
      <c r="T287" s="84">
        <v>167.4</v>
      </c>
      <c r="U287" s="84">
        <v>209.25</v>
      </c>
      <c r="V287" s="84">
        <v>159.03</v>
      </c>
      <c r="W287" s="84">
        <v>150.66</v>
      </c>
      <c r="X287" s="84">
        <v>209.25</v>
      </c>
      <c r="Y287" s="84">
        <v>159.03</v>
      </c>
      <c r="Z287" s="88"/>
      <c r="AA287" s="37">
        <f t="shared" si="408"/>
        <v>5059.0349999999999</v>
      </c>
      <c r="AB287" s="37">
        <f t="shared" si="409"/>
        <v>5059.0349999999999</v>
      </c>
      <c r="AC287" s="37">
        <f t="shared" si="410"/>
        <v>6390.36</v>
      </c>
      <c r="AD287" s="37">
        <f t="shared" si="411"/>
        <v>5325.3</v>
      </c>
      <c r="AE287" s="37">
        <f t="shared" si="412"/>
        <v>4850.415</v>
      </c>
      <c r="AF287" s="37">
        <f t="shared" si="413"/>
        <v>6382.125</v>
      </c>
      <c r="AG287" s="37">
        <f t="shared" si="414"/>
        <v>5105.7</v>
      </c>
      <c r="AH287" s="37">
        <f t="shared" si="415"/>
        <v>6382.125</v>
      </c>
      <c r="AI287" s="37">
        <f t="shared" si="416"/>
        <v>4850.415</v>
      </c>
      <c r="AJ287" s="37">
        <f t="shared" si="417"/>
        <v>4595.13</v>
      </c>
      <c r="AK287" s="37">
        <f t="shared" si="418"/>
        <v>6382.125</v>
      </c>
      <c r="AL287" s="37">
        <f t="shared" si="419"/>
        <v>4850.415</v>
      </c>
      <c r="AM287" s="94">
        <v>1</v>
      </c>
    </row>
    <row r="288" spans="1:39" s="91" customFormat="1" ht="15.6">
      <c r="A288" s="96" t="s">
        <v>336</v>
      </c>
      <c r="B288" s="83" t="s">
        <v>89</v>
      </c>
      <c r="C288" s="88" t="s">
        <v>618</v>
      </c>
      <c r="D288" s="88" t="s">
        <v>977</v>
      </c>
      <c r="E288" s="88" t="s">
        <v>617</v>
      </c>
      <c r="F288" s="83" t="s">
        <v>29</v>
      </c>
      <c r="G288" s="83" t="s">
        <v>120</v>
      </c>
      <c r="H288" s="89" t="s">
        <v>101</v>
      </c>
      <c r="I288" s="108">
        <v>14</v>
      </c>
      <c r="J288" s="88" t="s">
        <v>32</v>
      </c>
      <c r="K288" s="38" t="s">
        <v>33</v>
      </c>
      <c r="L288" s="38" t="s">
        <v>34</v>
      </c>
      <c r="M288" s="90" t="s">
        <v>1</v>
      </c>
      <c r="N288" s="84">
        <v>165.87</v>
      </c>
      <c r="O288" s="84">
        <v>165.87</v>
      </c>
      <c r="P288" s="84">
        <v>209.51999999999998</v>
      </c>
      <c r="Q288" s="84">
        <v>174.6</v>
      </c>
      <c r="R288" s="84">
        <v>159.03</v>
      </c>
      <c r="S288" s="84">
        <v>209.25</v>
      </c>
      <c r="T288" s="84">
        <v>167.4</v>
      </c>
      <c r="U288" s="84">
        <v>209.25</v>
      </c>
      <c r="V288" s="84">
        <v>159.03</v>
      </c>
      <c r="W288" s="84">
        <v>150.66</v>
      </c>
      <c r="X288" s="84">
        <v>209.25</v>
      </c>
      <c r="Y288" s="84">
        <v>159.03</v>
      </c>
      <c r="Z288" s="88" t="s">
        <v>802</v>
      </c>
      <c r="AA288" s="37">
        <f t="shared" si="408"/>
        <v>2322.1800000000003</v>
      </c>
      <c r="AB288" s="37">
        <f t="shared" si="409"/>
        <v>2322.1800000000003</v>
      </c>
      <c r="AC288" s="37">
        <f t="shared" si="410"/>
        <v>2933.2799999999997</v>
      </c>
      <c r="AD288" s="37">
        <f t="shared" si="411"/>
        <v>2444.4</v>
      </c>
      <c r="AE288" s="37">
        <f t="shared" si="412"/>
        <v>2226.42</v>
      </c>
      <c r="AF288" s="37">
        <f t="shared" si="413"/>
        <v>2929.5</v>
      </c>
      <c r="AG288" s="37">
        <f t="shared" si="414"/>
        <v>2343.6</v>
      </c>
      <c r="AH288" s="37">
        <f t="shared" si="415"/>
        <v>2929.5</v>
      </c>
      <c r="AI288" s="37">
        <f t="shared" si="416"/>
        <v>2226.42</v>
      </c>
      <c r="AJ288" s="37">
        <f t="shared" si="417"/>
        <v>2109.2399999999998</v>
      </c>
      <c r="AK288" s="37">
        <f t="shared" si="418"/>
        <v>2929.5</v>
      </c>
      <c r="AL288" s="37">
        <f t="shared" si="419"/>
        <v>2226.42</v>
      </c>
      <c r="AM288" s="94">
        <v>1</v>
      </c>
    </row>
    <row r="289" spans="1:39" s="91" customFormat="1" ht="15.6">
      <c r="A289" s="96" t="s">
        <v>336</v>
      </c>
      <c r="B289" s="83" t="s">
        <v>89</v>
      </c>
      <c r="C289" s="88" t="s">
        <v>338</v>
      </c>
      <c r="D289" s="88" t="s">
        <v>978</v>
      </c>
      <c r="E289" s="111" t="s">
        <v>339</v>
      </c>
      <c r="F289" s="83" t="s">
        <v>112</v>
      </c>
      <c r="G289" s="83" t="s">
        <v>73</v>
      </c>
      <c r="H289" s="89">
        <v>8</v>
      </c>
      <c r="I289" s="108">
        <v>132.5</v>
      </c>
      <c r="J289" s="88" t="s">
        <v>125</v>
      </c>
      <c r="K289" s="88" t="s">
        <v>340</v>
      </c>
      <c r="L289" s="88" t="s">
        <v>74</v>
      </c>
      <c r="M289" s="90" t="s">
        <v>2</v>
      </c>
      <c r="N289" s="84">
        <v>31</v>
      </c>
      <c r="O289" s="84">
        <v>31</v>
      </c>
      <c r="P289" s="84">
        <v>39</v>
      </c>
      <c r="Q289" s="84">
        <v>32</v>
      </c>
      <c r="R289" s="84">
        <v>31</v>
      </c>
      <c r="S289" s="84"/>
      <c r="T289" s="84"/>
      <c r="U289" s="84"/>
      <c r="V289" s="84"/>
      <c r="W289" s="84"/>
      <c r="X289" s="84"/>
      <c r="Y289" s="84"/>
      <c r="Z289" s="123" t="s">
        <v>1162</v>
      </c>
      <c r="AA289" s="37">
        <f t="shared" si="408"/>
        <v>4107.5</v>
      </c>
      <c r="AB289" s="37">
        <f t="shared" si="409"/>
        <v>4107.5</v>
      </c>
      <c r="AC289" s="37">
        <f t="shared" si="410"/>
        <v>5167.5</v>
      </c>
      <c r="AD289" s="37">
        <f t="shared" si="411"/>
        <v>4240</v>
      </c>
      <c r="AE289" s="37">
        <f t="shared" si="412"/>
        <v>4107.5</v>
      </c>
      <c r="AF289" s="37">
        <f t="shared" si="413"/>
        <v>0</v>
      </c>
      <c r="AG289" s="37">
        <f t="shared" si="414"/>
        <v>0</v>
      </c>
      <c r="AH289" s="37">
        <f t="shared" si="415"/>
        <v>0</v>
      </c>
      <c r="AI289" s="37">
        <f t="shared" si="416"/>
        <v>0</v>
      </c>
      <c r="AJ289" s="37">
        <f t="shared" si="417"/>
        <v>0</v>
      </c>
      <c r="AK289" s="37">
        <f t="shared" si="418"/>
        <v>0</v>
      </c>
      <c r="AL289" s="37">
        <f t="shared" si="419"/>
        <v>0</v>
      </c>
      <c r="AM289" s="120">
        <v>0</v>
      </c>
    </row>
    <row r="290" spans="1:39" s="91" customFormat="1" ht="15.6">
      <c r="A290" s="96" t="s">
        <v>336</v>
      </c>
      <c r="B290" s="83" t="s">
        <v>89</v>
      </c>
      <c r="C290" s="88" t="s">
        <v>342</v>
      </c>
      <c r="D290" s="88" t="s">
        <v>796</v>
      </c>
      <c r="E290" s="88" t="s">
        <v>343</v>
      </c>
      <c r="F290" s="83" t="s">
        <v>112</v>
      </c>
      <c r="G290" s="83" t="s">
        <v>73</v>
      </c>
      <c r="H290" s="124">
        <v>7</v>
      </c>
      <c r="I290" s="108">
        <v>112</v>
      </c>
      <c r="J290" s="88" t="s">
        <v>125</v>
      </c>
      <c r="K290" s="88" t="s">
        <v>341</v>
      </c>
      <c r="L290" s="88" t="s">
        <v>74</v>
      </c>
      <c r="M290" s="90" t="s">
        <v>2</v>
      </c>
      <c r="N290" s="84">
        <v>76</v>
      </c>
      <c r="O290" s="84">
        <v>76</v>
      </c>
      <c r="P290" s="84">
        <v>96</v>
      </c>
      <c r="Q290" s="84">
        <v>80</v>
      </c>
      <c r="R290" s="84">
        <v>76</v>
      </c>
      <c r="S290" s="84">
        <v>100</v>
      </c>
      <c r="T290" s="84">
        <v>76</v>
      </c>
      <c r="U290" s="84">
        <v>96</v>
      </c>
      <c r="V290" s="84">
        <v>76</v>
      </c>
      <c r="W290" s="84">
        <v>76</v>
      </c>
      <c r="X290" s="84">
        <v>96</v>
      </c>
      <c r="Y290" s="84">
        <v>76</v>
      </c>
      <c r="Z290" s="123"/>
      <c r="AA290" s="37">
        <f t="shared" si="408"/>
        <v>8512</v>
      </c>
      <c r="AB290" s="37">
        <f t="shared" si="409"/>
        <v>8512</v>
      </c>
      <c r="AC290" s="37">
        <f t="shared" si="410"/>
        <v>10752</v>
      </c>
      <c r="AD290" s="37">
        <f t="shared" si="411"/>
        <v>8960</v>
      </c>
      <c r="AE290" s="37">
        <f t="shared" si="412"/>
        <v>8512</v>
      </c>
      <c r="AF290" s="37">
        <f t="shared" si="413"/>
        <v>11200</v>
      </c>
      <c r="AG290" s="37">
        <f t="shared" si="414"/>
        <v>8512</v>
      </c>
      <c r="AH290" s="37">
        <f t="shared" si="415"/>
        <v>10752</v>
      </c>
      <c r="AI290" s="37">
        <f t="shared" si="416"/>
        <v>8512</v>
      </c>
      <c r="AJ290" s="37">
        <f t="shared" si="417"/>
        <v>8512</v>
      </c>
      <c r="AK290" s="37">
        <f t="shared" si="418"/>
        <v>10752</v>
      </c>
      <c r="AL290" s="37">
        <f t="shared" si="419"/>
        <v>8512</v>
      </c>
      <c r="AM290" s="120">
        <v>0.5</v>
      </c>
    </row>
    <row r="291" spans="1:39" s="91" customFormat="1" ht="15.6">
      <c r="A291" s="96" t="s">
        <v>336</v>
      </c>
      <c r="B291" s="83" t="s">
        <v>89</v>
      </c>
      <c r="C291" s="88">
        <v>102703</v>
      </c>
      <c r="D291" s="88" t="s">
        <v>797</v>
      </c>
      <c r="E291" s="111" t="s">
        <v>346</v>
      </c>
      <c r="F291" s="83" t="s">
        <v>68</v>
      </c>
      <c r="G291" s="83" t="s">
        <v>69</v>
      </c>
      <c r="H291" s="89" t="s">
        <v>60</v>
      </c>
      <c r="I291" s="108">
        <v>25</v>
      </c>
      <c r="J291" s="88" t="s">
        <v>125</v>
      </c>
      <c r="K291" s="88" t="s">
        <v>341</v>
      </c>
      <c r="L291" s="38" t="s">
        <v>34</v>
      </c>
      <c r="M291" s="90" t="s">
        <v>1</v>
      </c>
      <c r="N291" s="36">
        <f>165.87/2</f>
        <v>82.935000000000002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123"/>
      <c r="AA291" s="37">
        <f t="shared" si="408"/>
        <v>2073.375</v>
      </c>
      <c r="AB291" s="37">
        <f t="shared" si="409"/>
        <v>0</v>
      </c>
      <c r="AC291" s="37">
        <f t="shared" si="410"/>
        <v>0</v>
      </c>
      <c r="AD291" s="37">
        <f t="shared" si="411"/>
        <v>0</v>
      </c>
      <c r="AE291" s="37">
        <f t="shared" si="412"/>
        <v>0</v>
      </c>
      <c r="AF291" s="37">
        <f t="shared" si="413"/>
        <v>0</v>
      </c>
      <c r="AG291" s="37">
        <f t="shared" si="414"/>
        <v>0</v>
      </c>
      <c r="AH291" s="37">
        <f t="shared" si="415"/>
        <v>0</v>
      </c>
      <c r="AI291" s="37">
        <f t="shared" si="416"/>
        <v>0</v>
      </c>
      <c r="AJ291" s="37">
        <f t="shared" si="417"/>
        <v>0</v>
      </c>
      <c r="AK291" s="37">
        <f t="shared" si="418"/>
        <v>0</v>
      </c>
      <c r="AL291" s="37">
        <f t="shared" si="419"/>
        <v>0</v>
      </c>
      <c r="AM291" s="120">
        <v>0</v>
      </c>
    </row>
    <row r="292" spans="1:39" s="91" customFormat="1" ht="15.6">
      <c r="A292" s="87" t="s">
        <v>336</v>
      </c>
      <c r="B292" s="83" t="s">
        <v>89</v>
      </c>
      <c r="C292" s="38" t="s">
        <v>566</v>
      </c>
      <c r="D292" s="38" t="s">
        <v>979</v>
      </c>
      <c r="E292" s="88" t="s">
        <v>377</v>
      </c>
      <c r="F292" s="83" t="s">
        <v>72</v>
      </c>
      <c r="G292" s="83" t="s">
        <v>73</v>
      </c>
      <c r="H292" s="124">
        <v>7</v>
      </c>
      <c r="I292" s="108">
        <v>160</v>
      </c>
      <c r="J292" s="96" t="s">
        <v>368</v>
      </c>
      <c r="K292" s="125" t="s">
        <v>378</v>
      </c>
      <c r="L292" s="88" t="s">
        <v>74</v>
      </c>
      <c r="M292" s="90" t="s">
        <v>2</v>
      </c>
      <c r="N292" s="84">
        <v>76</v>
      </c>
      <c r="O292" s="84">
        <v>76</v>
      </c>
      <c r="P292" s="84">
        <v>96</v>
      </c>
      <c r="Q292" s="84">
        <v>80</v>
      </c>
      <c r="R292" s="84">
        <v>76</v>
      </c>
      <c r="S292" s="84">
        <v>100</v>
      </c>
      <c r="T292" s="84">
        <v>76</v>
      </c>
      <c r="U292" s="84">
        <v>96</v>
      </c>
      <c r="V292" s="84">
        <v>76</v>
      </c>
      <c r="W292" s="84">
        <v>76</v>
      </c>
      <c r="X292" s="84">
        <v>96</v>
      </c>
      <c r="Y292" s="84">
        <v>76</v>
      </c>
      <c r="Z292" s="123" t="s">
        <v>716</v>
      </c>
      <c r="AA292" s="37">
        <f t="shared" si="408"/>
        <v>12160</v>
      </c>
      <c r="AB292" s="37">
        <f t="shared" si="409"/>
        <v>12160</v>
      </c>
      <c r="AC292" s="37">
        <f t="shared" si="410"/>
        <v>15360</v>
      </c>
      <c r="AD292" s="37">
        <f t="shared" si="411"/>
        <v>12800</v>
      </c>
      <c r="AE292" s="37">
        <f t="shared" si="412"/>
        <v>12160</v>
      </c>
      <c r="AF292" s="37">
        <f t="shared" si="413"/>
        <v>16000</v>
      </c>
      <c r="AG292" s="37">
        <f t="shared" si="414"/>
        <v>12160</v>
      </c>
      <c r="AH292" s="37">
        <f t="shared" si="415"/>
        <v>15360</v>
      </c>
      <c r="AI292" s="37">
        <f t="shared" si="416"/>
        <v>12160</v>
      </c>
      <c r="AJ292" s="37">
        <f t="shared" si="417"/>
        <v>12160</v>
      </c>
      <c r="AK292" s="37">
        <f t="shared" si="418"/>
        <v>15360</v>
      </c>
      <c r="AL292" s="37">
        <f t="shared" si="419"/>
        <v>12160</v>
      </c>
      <c r="AM292" s="94">
        <v>0.5</v>
      </c>
    </row>
    <row r="293" spans="1:39" s="91" customFormat="1" ht="15.6">
      <c r="A293" s="87" t="s">
        <v>336</v>
      </c>
      <c r="B293" s="83" t="s">
        <v>89</v>
      </c>
      <c r="C293" s="38" t="s">
        <v>566</v>
      </c>
      <c r="D293" s="38" t="s">
        <v>979</v>
      </c>
      <c r="E293" s="88" t="s">
        <v>377</v>
      </c>
      <c r="F293" s="83" t="s">
        <v>72</v>
      </c>
      <c r="G293" s="83" t="s">
        <v>73</v>
      </c>
      <c r="H293" s="124">
        <v>7</v>
      </c>
      <c r="I293" s="108">
        <v>160</v>
      </c>
      <c r="J293" s="96" t="s">
        <v>125</v>
      </c>
      <c r="K293" s="125" t="s">
        <v>619</v>
      </c>
      <c r="L293" s="88" t="s">
        <v>74</v>
      </c>
      <c r="M293" s="90" t="s">
        <v>2</v>
      </c>
      <c r="N293" s="84">
        <v>76</v>
      </c>
      <c r="O293" s="84">
        <v>76</v>
      </c>
      <c r="P293" s="84">
        <v>96</v>
      </c>
      <c r="Q293" s="84">
        <v>80</v>
      </c>
      <c r="R293" s="84">
        <v>76</v>
      </c>
      <c r="S293" s="84">
        <v>100</v>
      </c>
      <c r="T293" s="84">
        <v>76</v>
      </c>
      <c r="U293" s="84">
        <v>96</v>
      </c>
      <c r="V293" s="84">
        <v>76</v>
      </c>
      <c r="W293" s="84">
        <v>76</v>
      </c>
      <c r="X293" s="84">
        <v>96</v>
      </c>
      <c r="Y293" s="84">
        <v>76</v>
      </c>
      <c r="Z293" s="123" t="s">
        <v>716</v>
      </c>
      <c r="AA293" s="37">
        <f t="shared" si="408"/>
        <v>12160</v>
      </c>
      <c r="AB293" s="37">
        <f t="shared" si="409"/>
        <v>12160</v>
      </c>
      <c r="AC293" s="37">
        <f t="shared" si="410"/>
        <v>15360</v>
      </c>
      <c r="AD293" s="37">
        <f t="shared" si="411"/>
        <v>12800</v>
      </c>
      <c r="AE293" s="37">
        <f t="shared" si="412"/>
        <v>12160</v>
      </c>
      <c r="AF293" s="37">
        <f t="shared" si="413"/>
        <v>16000</v>
      </c>
      <c r="AG293" s="37">
        <f t="shared" si="414"/>
        <v>12160</v>
      </c>
      <c r="AH293" s="37">
        <f t="shared" si="415"/>
        <v>15360</v>
      </c>
      <c r="AI293" s="37">
        <f t="shared" si="416"/>
        <v>12160</v>
      </c>
      <c r="AJ293" s="37">
        <f t="shared" si="417"/>
        <v>12160</v>
      </c>
      <c r="AK293" s="37">
        <f t="shared" si="418"/>
        <v>15360</v>
      </c>
      <c r="AL293" s="37">
        <f t="shared" si="419"/>
        <v>12160</v>
      </c>
      <c r="AM293" s="94">
        <v>0.5</v>
      </c>
    </row>
    <row r="294" spans="1:39" s="91" customFormat="1" ht="15.6">
      <c r="A294" s="96" t="s">
        <v>336</v>
      </c>
      <c r="B294" s="83" t="s">
        <v>89</v>
      </c>
      <c r="C294" s="88" t="s">
        <v>1218</v>
      </c>
      <c r="D294" s="88" t="s">
        <v>1217</v>
      </c>
      <c r="E294" s="88" t="s">
        <v>373</v>
      </c>
      <c r="F294" s="83" t="s">
        <v>112</v>
      </c>
      <c r="G294" s="83" t="s">
        <v>73</v>
      </c>
      <c r="H294" s="124">
        <v>7</v>
      </c>
      <c r="I294" s="108">
        <v>112</v>
      </c>
      <c r="J294" s="88" t="s">
        <v>368</v>
      </c>
      <c r="K294" s="88" t="s">
        <v>345</v>
      </c>
      <c r="L294" s="88" t="s">
        <v>74</v>
      </c>
      <c r="M294" s="90" t="s">
        <v>3</v>
      </c>
      <c r="N294" s="84">
        <v>76</v>
      </c>
      <c r="O294" s="84">
        <v>76</v>
      </c>
      <c r="P294" s="84">
        <v>96</v>
      </c>
      <c r="Q294" s="84">
        <v>80</v>
      </c>
      <c r="R294" s="84">
        <v>76</v>
      </c>
      <c r="S294" s="84">
        <v>100</v>
      </c>
      <c r="T294" s="84">
        <v>76</v>
      </c>
      <c r="U294" s="84">
        <v>96</v>
      </c>
      <c r="V294" s="84">
        <v>76</v>
      </c>
      <c r="W294" s="84">
        <v>76</v>
      </c>
      <c r="X294" s="84">
        <v>96</v>
      </c>
      <c r="Y294" s="84">
        <v>76</v>
      </c>
      <c r="Z294" s="123" t="s">
        <v>716</v>
      </c>
      <c r="AA294" s="37">
        <f t="shared" si="408"/>
        <v>8512</v>
      </c>
      <c r="AB294" s="37">
        <f t="shared" si="409"/>
        <v>8512</v>
      </c>
      <c r="AC294" s="37">
        <f t="shared" si="410"/>
        <v>10752</v>
      </c>
      <c r="AD294" s="37">
        <f t="shared" si="411"/>
        <v>8960</v>
      </c>
      <c r="AE294" s="37">
        <f t="shared" si="412"/>
        <v>8512</v>
      </c>
      <c r="AF294" s="37">
        <f t="shared" si="413"/>
        <v>11200</v>
      </c>
      <c r="AG294" s="37">
        <f t="shared" si="414"/>
        <v>8512</v>
      </c>
      <c r="AH294" s="37">
        <f t="shared" si="415"/>
        <v>10752</v>
      </c>
      <c r="AI294" s="37">
        <f t="shared" si="416"/>
        <v>8512</v>
      </c>
      <c r="AJ294" s="37">
        <f t="shared" si="417"/>
        <v>8512</v>
      </c>
      <c r="AK294" s="37">
        <f t="shared" si="418"/>
        <v>10752</v>
      </c>
      <c r="AL294" s="37">
        <f t="shared" si="419"/>
        <v>8512</v>
      </c>
      <c r="AM294" s="120">
        <v>0.5</v>
      </c>
    </row>
    <row r="295" spans="1:39" s="91" customFormat="1" ht="15.6">
      <c r="A295" s="96" t="s">
        <v>336</v>
      </c>
      <c r="B295" s="83" t="s">
        <v>89</v>
      </c>
      <c r="C295" s="88" t="s">
        <v>1218</v>
      </c>
      <c r="D295" s="88" t="s">
        <v>1217</v>
      </c>
      <c r="E295" s="88" t="s">
        <v>373</v>
      </c>
      <c r="F295" s="83" t="s">
        <v>112</v>
      </c>
      <c r="G295" s="83" t="s">
        <v>73</v>
      </c>
      <c r="H295" s="124">
        <v>7</v>
      </c>
      <c r="I295" s="108">
        <v>112</v>
      </c>
      <c r="J295" s="88" t="s">
        <v>125</v>
      </c>
      <c r="K295" s="125" t="s">
        <v>619</v>
      </c>
      <c r="L295" s="88" t="s">
        <v>74</v>
      </c>
      <c r="M295" s="90" t="s">
        <v>3</v>
      </c>
      <c r="N295" s="84">
        <v>76</v>
      </c>
      <c r="O295" s="84">
        <v>76</v>
      </c>
      <c r="P295" s="84">
        <v>96</v>
      </c>
      <c r="Q295" s="84">
        <v>80</v>
      </c>
      <c r="R295" s="84">
        <v>76</v>
      </c>
      <c r="S295" s="84">
        <v>100</v>
      </c>
      <c r="T295" s="84">
        <v>76</v>
      </c>
      <c r="U295" s="84">
        <v>96</v>
      </c>
      <c r="V295" s="84">
        <v>76</v>
      </c>
      <c r="W295" s="84">
        <v>76</v>
      </c>
      <c r="X295" s="84">
        <v>96</v>
      </c>
      <c r="Y295" s="84">
        <v>76</v>
      </c>
      <c r="Z295" s="123" t="s">
        <v>716</v>
      </c>
      <c r="AA295" s="37">
        <f t="shared" si="408"/>
        <v>8512</v>
      </c>
      <c r="AB295" s="37">
        <f t="shared" si="409"/>
        <v>8512</v>
      </c>
      <c r="AC295" s="37">
        <f t="shared" si="410"/>
        <v>10752</v>
      </c>
      <c r="AD295" s="37">
        <f t="shared" si="411"/>
        <v>8960</v>
      </c>
      <c r="AE295" s="37">
        <f t="shared" si="412"/>
        <v>8512</v>
      </c>
      <c r="AF295" s="37">
        <f t="shared" si="413"/>
        <v>11200</v>
      </c>
      <c r="AG295" s="37">
        <f t="shared" si="414"/>
        <v>8512</v>
      </c>
      <c r="AH295" s="37">
        <f t="shared" si="415"/>
        <v>10752</v>
      </c>
      <c r="AI295" s="37">
        <f t="shared" si="416"/>
        <v>8512</v>
      </c>
      <c r="AJ295" s="37">
        <f t="shared" si="417"/>
        <v>8512</v>
      </c>
      <c r="AK295" s="37">
        <f t="shared" si="418"/>
        <v>10752</v>
      </c>
      <c r="AL295" s="37">
        <f t="shared" si="419"/>
        <v>8512</v>
      </c>
      <c r="AM295" s="120">
        <v>0.5</v>
      </c>
    </row>
    <row r="296" spans="1:39" s="91" customFormat="1" ht="15.6">
      <c r="A296" s="96" t="s">
        <v>336</v>
      </c>
      <c r="B296" s="83" t="s">
        <v>89</v>
      </c>
      <c r="C296" s="88" t="s">
        <v>483</v>
      </c>
      <c r="D296" s="88" t="s">
        <v>980</v>
      </c>
      <c r="E296" s="88" t="s">
        <v>348</v>
      </c>
      <c r="F296" s="83" t="s">
        <v>29</v>
      </c>
      <c r="G296" s="83" t="s">
        <v>221</v>
      </c>
      <c r="H296" s="89" t="s">
        <v>44</v>
      </c>
      <c r="I296" s="108">
        <v>17</v>
      </c>
      <c r="J296" s="88" t="s">
        <v>125</v>
      </c>
      <c r="K296" s="88" t="s">
        <v>341</v>
      </c>
      <c r="L296" s="38" t="s">
        <v>34</v>
      </c>
      <c r="M296" s="90" t="s">
        <v>1</v>
      </c>
      <c r="N296" s="36">
        <v>174.6</v>
      </c>
      <c r="O296" s="36">
        <v>165.87</v>
      </c>
      <c r="P296" s="36">
        <v>200.79</v>
      </c>
      <c r="Q296" s="36">
        <v>174.6</v>
      </c>
      <c r="R296" s="36">
        <v>159.03</v>
      </c>
      <c r="S296" s="84">
        <v>209.25</v>
      </c>
      <c r="T296" s="36">
        <v>167.4</v>
      </c>
      <c r="U296" s="36">
        <v>209.25</v>
      </c>
      <c r="V296" s="36">
        <v>159.03</v>
      </c>
      <c r="W296" s="36">
        <v>150.66</v>
      </c>
      <c r="X296" s="36">
        <v>200.88000000000002</v>
      </c>
      <c r="Y296" s="36">
        <v>159.03</v>
      </c>
      <c r="Z296" s="123"/>
      <c r="AA296" s="37">
        <f t="shared" si="408"/>
        <v>2968.2</v>
      </c>
      <c r="AB296" s="37">
        <f t="shared" si="409"/>
        <v>2819.79</v>
      </c>
      <c r="AC296" s="37">
        <f t="shared" si="410"/>
        <v>3413.43</v>
      </c>
      <c r="AD296" s="37">
        <f t="shared" si="411"/>
        <v>2968.2</v>
      </c>
      <c r="AE296" s="37">
        <f t="shared" si="412"/>
        <v>2703.51</v>
      </c>
      <c r="AF296" s="37">
        <f t="shared" si="413"/>
        <v>3557.25</v>
      </c>
      <c r="AG296" s="37">
        <f t="shared" si="414"/>
        <v>2845.8</v>
      </c>
      <c r="AH296" s="37">
        <f t="shared" si="415"/>
        <v>3557.25</v>
      </c>
      <c r="AI296" s="37">
        <f t="shared" si="416"/>
        <v>2703.51</v>
      </c>
      <c r="AJ296" s="37">
        <f t="shared" si="417"/>
        <v>2561.2199999999998</v>
      </c>
      <c r="AK296" s="37">
        <f t="shared" si="418"/>
        <v>3414.9600000000005</v>
      </c>
      <c r="AL296" s="37">
        <f t="shared" si="419"/>
        <v>2703.51</v>
      </c>
      <c r="AM296" s="120">
        <v>1</v>
      </c>
    </row>
    <row r="297" spans="1:39" s="91" customFormat="1" ht="15.6">
      <c r="A297" s="96" t="s">
        <v>336</v>
      </c>
      <c r="B297" s="83" t="s">
        <v>89</v>
      </c>
      <c r="C297" s="88" t="s">
        <v>485</v>
      </c>
      <c r="D297" s="88" t="s">
        <v>982</v>
      </c>
      <c r="E297" s="88" t="s">
        <v>351</v>
      </c>
      <c r="F297" s="83" t="s">
        <v>29</v>
      </c>
      <c r="G297" s="83" t="s">
        <v>90</v>
      </c>
      <c r="H297" s="89">
        <v>4</v>
      </c>
      <c r="I297" s="108">
        <v>9</v>
      </c>
      <c r="J297" s="88" t="s">
        <v>125</v>
      </c>
      <c r="K297" s="125" t="s">
        <v>347</v>
      </c>
      <c r="L297" s="88" t="s">
        <v>34</v>
      </c>
      <c r="M297" s="90" t="s">
        <v>3</v>
      </c>
      <c r="N297" s="84">
        <v>166.84</v>
      </c>
      <c r="O297" s="84">
        <v>166.84</v>
      </c>
      <c r="P297" s="84">
        <v>210.48999999999998</v>
      </c>
      <c r="Q297" s="84">
        <v>166.84</v>
      </c>
      <c r="R297" s="36">
        <v>159.96</v>
      </c>
      <c r="S297" s="84">
        <v>209.25</v>
      </c>
      <c r="T297" s="84">
        <v>167.4</v>
      </c>
      <c r="U297" s="84">
        <v>209.25</v>
      </c>
      <c r="V297" s="84">
        <v>159.96</v>
      </c>
      <c r="W297" s="84">
        <v>152.52000000000001</v>
      </c>
      <c r="X297" s="84">
        <v>201.81</v>
      </c>
      <c r="Y297" s="84">
        <v>159.96</v>
      </c>
      <c r="Z297" s="123"/>
      <c r="AA297" s="37">
        <f t="shared" si="408"/>
        <v>1501.56</v>
      </c>
      <c r="AB297" s="37">
        <f t="shared" si="409"/>
        <v>1501.56</v>
      </c>
      <c r="AC297" s="37">
        <f t="shared" si="410"/>
        <v>1894.4099999999999</v>
      </c>
      <c r="AD297" s="37">
        <f t="shared" si="411"/>
        <v>1501.56</v>
      </c>
      <c r="AE297" s="37">
        <f t="shared" si="412"/>
        <v>1439.64</v>
      </c>
      <c r="AF297" s="37">
        <f t="shared" si="413"/>
        <v>1883.25</v>
      </c>
      <c r="AG297" s="37">
        <f t="shared" si="414"/>
        <v>1506.6000000000001</v>
      </c>
      <c r="AH297" s="37">
        <f t="shared" si="415"/>
        <v>1883.25</v>
      </c>
      <c r="AI297" s="37">
        <f t="shared" si="416"/>
        <v>1439.64</v>
      </c>
      <c r="AJ297" s="37">
        <f t="shared" si="417"/>
        <v>1372.68</v>
      </c>
      <c r="AK297" s="37">
        <f t="shared" si="418"/>
        <v>1816.29</v>
      </c>
      <c r="AL297" s="37">
        <f t="shared" si="419"/>
        <v>1439.64</v>
      </c>
      <c r="AM297" s="120">
        <v>1</v>
      </c>
    </row>
    <row r="298" spans="1:39" s="91" customFormat="1" ht="15.6">
      <c r="A298" s="96" t="s">
        <v>336</v>
      </c>
      <c r="B298" s="83" t="s">
        <v>89</v>
      </c>
      <c r="C298" s="88" t="s">
        <v>490</v>
      </c>
      <c r="D298" s="88" t="s">
        <v>983</v>
      </c>
      <c r="E298" s="88" t="s">
        <v>359</v>
      </c>
      <c r="F298" s="83" t="s">
        <v>29</v>
      </c>
      <c r="G298" s="83" t="s">
        <v>90</v>
      </c>
      <c r="H298" s="89" t="s">
        <v>36</v>
      </c>
      <c r="I298" s="108">
        <v>29.5</v>
      </c>
      <c r="J298" s="88" t="s">
        <v>125</v>
      </c>
      <c r="K298" s="88" t="s">
        <v>360</v>
      </c>
      <c r="L298" s="38" t="s">
        <v>34</v>
      </c>
      <c r="M298" s="90" t="s">
        <v>1</v>
      </c>
      <c r="N298" s="36">
        <v>174.6</v>
      </c>
      <c r="O298" s="36">
        <v>165.87</v>
      </c>
      <c r="P298" s="36">
        <v>200.79</v>
      </c>
      <c r="Q298" s="36">
        <v>174.6</v>
      </c>
      <c r="R298" s="36">
        <v>159.03</v>
      </c>
      <c r="S298" s="84">
        <v>209.25</v>
      </c>
      <c r="T298" s="36">
        <v>167.4</v>
      </c>
      <c r="U298" s="36">
        <v>209.25</v>
      </c>
      <c r="V298" s="36">
        <v>159.03</v>
      </c>
      <c r="W298" s="36">
        <v>150.66</v>
      </c>
      <c r="X298" s="36">
        <v>200.88000000000002</v>
      </c>
      <c r="Y298" s="36">
        <v>159.03</v>
      </c>
      <c r="Z298" s="123"/>
      <c r="AA298" s="37">
        <f t="shared" si="408"/>
        <v>5150.7</v>
      </c>
      <c r="AB298" s="37">
        <f t="shared" si="409"/>
        <v>4893.165</v>
      </c>
      <c r="AC298" s="37">
        <f t="shared" si="410"/>
        <v>5923.3049999999994</v>
      </c>
      <c r="AD298" s="37">
        <f t="shared" si="411"/>
        <v>5150.7</v>
      </c>
      <c r="AE298" s="37">
        <f t="shared" si="412"/>
        <v>4691.3850000000002</v>
      </c>
      <c r="AF298" s="37">
        <f t="shared" si="413"/>
        <v>6172.875</v>
      </c>
      <c r="AG298" s="37">
        <f t="shared" si="414"/>
        <v>4938.3</v>
      </c>
      <c r="AH298" s="37">
        <f t="shared" si="415"/>
        <v>6172.875</v>
      </c>
      <c r="AI298" s="37">
        <f t="shared" si="416"/>
        <v>4691.3850000000002</v>
      </c>
      <c r="AJ298" s="37">
        <f t="shared" si="417"/>
        <v>4444.47</v>
      </c>
      <c r="AK298" s="37">
        <f t="shared" si="418"/>
        <v>5925.9600000000009</v>
      </c>
      <c r="AL298" s="37">
        <f t="shared" si="419"/>
        <v>4691.3850000000002</v>
      </c>
      <c r="AM298" s="120">
        <v>1</v>
      </c>
    </row>
    <row r="299" spans="1:39" s="91" customFormat="1" ht="15.6">
      <c r="A299" s="96" t="s">
        <v>336</v>
      </c>
      <c r="B299" s="83" t="s">
        <v>89</v>
      </c>
      <c r="C299" s="88" t="s">
        <v>491</v>
      </c>
      <c r="D299" s="88" t="s">
        <v>984</v>
      </c>
      <c r="E299" s="88" t="s">
        <v>361</v>
      </c>
      <c r="F299" s="83" t="s">
        <v>29</v>
      </c>
      <c r="G299" s="83" t="s">
        <v>350</v>
      </c>
      <c r="H299" s="89" t="s">
        <v>36</v>
      </c>
      <c r="I299" s="108">
        <v>29.5</v>
      </c>
      <c r="J299" s="88" t="s">
        <v>125</v>
      </c>
      <c r="K299" s="88" t="s">
        <v>360</v>
      </c>
      <c r="L299" s="38" t="s">
        <v>34</v>
      </c>
      <c r="M299" s="90" t="s">
        <v>1</v>
      </c>
      <c r="N299" s="84">
        <v>165.87</v>
      </c>
      <c r="O299" s="84">
        <v>165.87</v>
      </c>
      <c r="P299" s="84">
        <v>209.51999999999998</v>
      </c>
      <c r="Q299" s="84">
        <v>174.6</v>
      </c>
      <c r="R299" s="84">
        <v>159.03</v>
      </c>
      <c r="S299" s="84">
        <v>209.25</v>
      </c>
      <c r="T299" s="84">
        <v>167.4</v>
      </c>
      <c r="U299" s="84">
        <v>209.25</v>
      </c>
      <c r="V299" s="84">
        <v>159.03</v>
      </c>
      <c r="W299" s="84">
        <v>150.66</v>
      </c>
      <c r="X299" s="84">
        <v>209.25</v>
      </c>
      <c r="Y299" s="84">
        <v>159.03</v>
      </c>
      <c r="Z299" s="123"/>
      <c r="AA299" s="37">
        <f t="shared" si="408"/>
        <v>4893.165</v>
      </c>
      <c r="AB299" s="37">
        <f t="shared" si="409"/>
        <v>4893.165</v>
      </c>
      <c r="AC299" s="37">
        <f t="shared" si="410"/>
        <v>6180.8399999999992</v>
      </c>
      <c r="AD299" s="37">
        <f t="shared" si="411"/>
        <v>5150.7</v>
      </c>
      <c r="AE299" s="37">
        <f t="shared" si="412"/>
        <v>4691.3850000000002</v>
      </c>
      <c r="AF299" s="37">
        <f t="shared" si="413"/>
        <v>6172.875</v>
      </c>
      <c r="AG299" s="37">
        <f t="shared" si="414"/>
        <v>4938.3</v>
      </c>
      <c r="AH299" s="37">
        <f t="shared" si="415"/>
        <v>6172.875</v>
      </c>
      <c r="AI299" s="37">
        <f t="shared" si="416"/>
        <v>4691.3850000000002</v>
      </c>
      <c r="AJ299" s="37">
        <f t="shared" si="417"/>
        <v>4444.47</v>
      </c>
      <c r="AK299" s="37">
        <f t="shared" si="418"/>
        <v>6172.875</v>
      </c>
      <c r="AL299" s="37">
        <f t="shared" si="419"/>
        <v>4691.3850000000002</v>
      </c>
      <c r="AM299" s="120">
        <v>1</v>
      </c>
    </row>
    <row r="300" spans="1:39" s="91" customFormat="1" ht="15.6">
      <c r="A300" s="96" t="s">
        <v>336</v>
      </c>
      <c r="B300" s="83" t="s">
        <v>89</v>
      </c>
      <c r="C300" s="88" t="s">
        <v>723</v>
      </c>
      <c r="D300" s="88" t="s">
        <v>985</v>
      </c>
      <c r="E300" s="88" t="s">
        <v>722</v>
      </c>
      <c r="F300" s="83" t="s">
        <v>29</v>
      </c>
      <c r="G300" s="83" t="s">
        <v>35</v>
      </c>
      <c r="H300" s="89" t="s">
        <v>36</v>
      </c>
      <c r="I300" s="108">
        <v>29.5</v>
      </c>
      <c r="J300" s="88" t="s">
        <v>125</v>
      </c>
      <c r="K300" s="88" t="s">
        <v>362</v>
      </c>
      <c r="L300" s="38" t="s">
        <v>34</v>
      </c>
      <c r="M300" s="90" t="s">
        <v>3</v>
      </c>
      <c r="N300" s="84">
        <v>166.84</v>
      </c>
      <c r="O300" s="84">
        <v>166.84</v>
      </c>
      <c r="P300" s="84">
        <v>210.48999999999998</v>
      </c>
      <c r="Q300" s="84">
        <v>166.84</v>
      </c>
      <c r="R300" s="36">
        <v>159.96</v>
      </c>
      <c r="S300" s="84">
        <v>209.25</v>
      </c>
      <c r="T300" s="84">
        <v>167.4</v>
      </c>
      <c r="U300" s="84">
        <v>209.25</v>
      </c>
      <c r="V300" s="84">
        <v>159.96</v>
      </c>
      <c r="W300" s="84">
        <v>152.52000000000001</v>
      </c>
      <c r="X300" s="84">
        <v>201.81</v>
      </c>
      <c r="Y300" s="84">
        <v>159.96</v>
      </c>
      <c r="Z300" s="123" t="s">
        <v>724</v>
      </c>
      <c r="AA300" s="37">
        <f t="shared" si="408"/>
        <v>4921.78</v>
      </c>
      <c r="AB300" s="37">
        <f t="shared" si="409"/>
        <v>4921.78</v>
      </c>
      <c r="AC300" s="37">
        <f t="shared" si="410"/>
        <v>6209.454999999999</v>
      </c>
      <c r="AD300" s="37">
        <f t="shared" si="411"/>
        <v>4921.78</v>
      </c>
      <c r="AE300" s="37">
        <f t="shared" si="412"/>
        <v>4718.8200000000006</v>
      </c>
      <c r="AF300" s="37">
        <f t="shared" si="413"/>
        <v>6172.875</v>
      </c>
      <c r="AG300" s="37">
        <f t="shared" si="414"/>
        <v>4938.3</v>
      </c>
      <c r="AH300" s="37">
        <f t="shared" si="415"/>
        <v>6172.875</v>
      </c>
      <c r="AI300" s="37">
        <f t="shared" si="416"/>
        <v>4718.8200000000006</v>
      </c>
      <c r="AJ300" s="37">
        <f t="shared" si="417"/>
        <v>4499.34</v>
      </c>
      <c r="AK300" s="37">
        <f t="shared" si="418"/>
        <v>5953.3950000000004</v>
      </c>
      <c r="AL300" s="37">
        <f t="shared" si="419"/>
        <v>4718.8200000000006</v>
      </c>
      <c r="AM300" s="120">
        <v>1</v>
      </c>
    </row>
    <row r="301" spans="1:39" s="91" customFormat="1" ht="15.6">
      <c r="A301" s="96" t="s">
        <v>336</v>
      </c>
      <c r="B301" s="83" t="s">
        <v>89</v>
      </c>
      <c r="C301" s="88" t="s">
        <v>492</v>
      </c>
      <c r="D301" s="88" t="s">
        <v>798</v>
      </c>
      <c r="E301" s="126" t="s">
        <v>363</v>
      </c>
      <c r="F301" s="83" t="s">
        <v>29</v>
      </c>
      <c r="G301" s="83" t="s">
        <v>380</v>
      </c>
      <c r="H301" s="89" t="s">
        <v>36</v>
      </c>
      <c r="I301" s="108">
        <v>28.5</v>
      </c>
      <c r="J301" s="88" t="s">
        <v>125</v>
      </c>
      <c r="K301" s="88" t="s">
        <v>362</v>
      </c>
      <c r="L301" s="38" t="s">
        <v>34</v>
      </c>
      <c r="M301" s="90" t="s">
        <v>1</v>
      </c>
      <c r="N301" s="84">
        <v>165.87</v>
      </c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123" t="s">
        <v>725</v>
      </c>
      <c r="AA301" s="37">
        <f t="shared" si="408"/>
        <v>4727.2950000000001</v>
      </c>
      <c r="AB301" s="37">
        <f t="shared" si="409"/>
        <v>0</v>
      </c>
      <c r="AC301" s="37">
        <f t="shared" si="410"/>
        <v>0</v>
      </c>
      <c r="AD301" s="37">
        <f t="shared" si="411"/>
        <v>0</v>
      </c>
      <c r="AE301" s="37">
        <f t="shared" si="412"/>
        <v>0</v>
      </c>
      <c r="AF301" s="37">
        <f t="shared" si="413"/>
        <v>0</v>
      </c>
      <c r="AG301" s="37">
        <f t="shared" si="414"/>
        <v>0</v>
      </c>
      <c r="AH301" s="37">
        <f t="shared" si="415"/>
        <v>0</v>
      </c>
      <c r="AI301" s="37">
        <f t="shared" si="416"/>
        <v>0</v>
      </c>
      <c r="AJ301" s="37">
        <f t="shared" si="417"/>
        <v>0</v>
      </c>
      <c r="AK301" s="37">
        <f t="shared" si="418"/>
        <v>0</v>
      </c>
      <c r="AL301" s="37">
        <f t="shared" si="419"/>
        <v>0</v>
      </c>
      <c r="AM301" s="120">
        <v>0</v>
      </c>
    </row>
    <row r="302" spans="1:39" s="91" customFormat="1" ht="15.6">
      <c r="A302" s="96" t="s">
        <v>336</v>
      </c>
      <c r="B302" s="83" t="s">
        <v>89</v>
      </c>
      <c r="C302" s="88" t="s">
        <v>1065</v>
      </c>
      <c r="D302" s="88" t="s">
        <v>1066</v>
      </c>
      <c r="E302" s="85" t="s">
        <v>1064</v>
      </c>
      <c r="F302" s="83" t="s">
        <v>29</v>
      </c>
      <c r="G302" s="83" t="s">
        <v>90</v>
      </c>
      <c r="H302" s="89" t="s">
        <v>60</v>
      </c>
      <c r="I302" s="108">
        <v>19</v>
      </c>
      <c r="J302" s="88" t="s">
        <v>125</v>
      </c>
      <c r="K302" s="88" t="s">
        <v>362</v>
      </c>
      <c r="L302" s="38" t="s">
        <v>34</v>
      </c>
      <c r="M302" s="90" t="s">
        <v>1</v>
      </c>
      <c r="N302" s="84"/>
      <c r="O302" s="84"/>
      <c r="P302" s="84">
        <v>209.51999999999998</v>
      </c>
      <c r="Q302" s="84">
        <v>174.6</v>
      </c>
      <c r="R302" s="36">
        <v>159.03</v>
      </c>
      <c r="S302" s="84">
        <v>209.25</v>
      </c>
      <c r="T302" s="36">
        <v>167.4</v>
      </c>
      <c r="U302" s="36">
        <v>209.25</v>
      </c>
      <c r="V302" s="36">
        <v>159.03</v>
      </c>
      <c r="W302" s="36">
        <v>150.66</v>
      </c>
      <c r="X302" s="36">
        <v>200.88000000000002</v>
      </c>
      <c r="Y302" s="36">
        <v>159.03</v>
      </c>
      <c r="Z302" s="123" t="s">
        <v>763</v>
      </c>
      <c r="AA302" s="37">
        <f t="shared" si="408"/>
        <v>0</v>
      </c>
      <c r="AB302" s="37">
        <f t="shared" si="409"/>
        <v>0</v>
      </c>
      <c r="AC302" s="37">
        <f t="shared" si="410"/>
        <v>3980.8799999999997</v>
      </c>
      <c r="AD302" s="37">
        <f t="shared" si="411"/>
        <v>3317.4</v>
      </c>
      <c r="AE302" s="37">
        <f t="shared" si="412"/>
        <v>3021.57</v>
      </c>
      <c r="AF302" s="37">
        <f t="shared" si="413"/>
        <v>3975.75</v>
      </c>
      <c r="AG302" s="37">
        <f t="shared" si="414"/>
        <v>3180.6</v>
      </c>
      <c r="AH302" s="37">
        <f t="shared" si="415"/>
        <v>3975.75</v>
      </c>
      <c r="AI302" s="37">
        <f t="shared" si="416"/>
        <v>3021.57</v>
      </c>
      <c r="AJ302" s="37">
        <f t="shared" si="417"/>
        <v>2862.54</v>
      </c>
      <c r="AK302" s="37">
        <f t="shared" si="418"/>
        <v>3816.7200000000003</v>
      </c>
      <c r="AL302" s="37">
        <f t="shared" si="419"/>
        <v>3021.57</v>
      </c>
      <c r="AM302" s="120">
        <v>1</v>
      </c>
    </row>
    <row r="303" spans="1:39" s="91" customFormat="1" ht="15.6">
      <c r="A303" s="96" t="s">
        <v>336</v>
      </c>
      <c r="B303" s="83" t="s">
        <v>89</v>
      </c>
      <c r="C303" s="88" t="s">
        <v>493</v>
      </c>
      <c r="D303" s="88" t="s">
        <v>986</v>
      </c>
      <c r="E303" s="85" t="s">
        <v>364</v>
      </c>
      <c r="F303" s="83" t="s">
        <v>29</v>
      </c>
      <c r="G303" s="83" t="s">
        <v>90</v>
      </c>
      <c r="H303" s="89" t="s">
        <v>36</v>
      </c>
      <c r="I303" s="108">
        <v>29.5</v>
      </c>
      <c r="J303" s="88" t="s">
        <v>125</v>
      </c>
      <c r="K303" s="88" t="s">
        <v>362</v>
      </c>
      <c r="L303" s="38" t="s">
        <v>34</v>
      </c>
      <c r="M303" s="90" t="s">
        <v>1</v>
      </c>
      <c r="N303" s="36">
        <v>174.6</v>
      </c>
      <c r="O303" s="36">
        <v>165.87</v>
      </c>
      <c r="P303" s="36">
        <v>200.79</v>
      </c>
      <c r="Q303" s="36">
        <v>174.6</v>
      </c>
      <c r="R303" s="36">
        <v>159.03</v>
      </c>
      <c r="S303" s="84">
        <v>209.25</v>
      </c>
      <c r="T303" s="36">
        <v>167.4</v>
      </c>
      <c r="U303" s="36">
        <v>209.25</v>
      </c>
      <c r="V303" s="36">
        <v>159.03</v>
      </c>
      <c r="W303" s="36">
        <v>150.66</v>
      </c>
      <c r="X303" s="36">
        <v>200.88000000000002</v>
      </c>
      <c r="Y303" s="36">
        <v>159.03</v>
      </c>
      <c r="Z303" s="123"/>
      <c r="AA303" s="37">
        <f t="shared" si="408"/>
        <v>5150.7</v>
      </c>
      <c r="AB303" s="37">
        <f t="shared" si="409"/>
        <v>4893.165</v>
      </c>
      <c r="AC303" s="37">
        <f t="shared" si="410"/>
        <v>5923.3049999999994</v>
      </c>
      <c r="AD303" s="37">
        <f t="shared" si="411"/>
        <v>5150.7</v>
      </c>
      <c r="AE303" s="37">
        <f t="shared" si="412"/>
        <v>4691.3850000000002</v>
      </c>
      <c r="AF303" s="37">
        <f t="shared" si="413"/>
        <v>6172.875</v>
      </c>
      <c r="AG303" s="37">
        <f t="shared" si="414"/>
        <v>4938.3</v>
      </c>
      <c r="AH303" s="37">
        <f t="shared" si="415"/>
        <v>6172.875</v>
      </c>
      <c r="AI303" s="37">
        <f t="shared" si="416"/>
        <v>4691.3850000000002</v>
      </c>
      <c r="AJ303" s="37">
        <f t="shared" si="417"/>
        <v>4444.47</v>
      </c>
      <c r="AK303" s="37">
        <f t="shared" si="418"/>
        <v>5925.9600000000009</v>
      </c>
      <c r="AL303" s="37">
        <f t="shared" si="419"/>
        <v>4691.3850000000002</v>
      </c>
      <c r="AM303" s="120">
        <v>1</v>
      </c>
    </row>
    <row r="304" spans="1:39" s="91" customFormat="1" ht="15.6">
      <c r="A304" s="96" t="s">
        <v>336</v>
      </c>
      <c r="B304" s="83" t="s">
        <v>89</v>
      </c>
      <c r="C304" s="38" t="s">
        <v>494</v>
      </c>
      <c r="D304" s="38" t="s">
        <v>987</v>
      </c>
      <c r="E304" s="85" t="s">
        <v>481</v>
      </c>
      <c r="F304" s="83" t="s">
        <v>29</v>
      </c>
      <c r="G304" s="83" t="s">
        <v>30</v>
      </c>
      <c r="H304" s="89" t="s">
        <v>60</v>
      </c>
      <c r="I304" s="108">
        <v>19</v>
      </c>
      <c r="J304" s="88" t="s">
        <v>125</v>
      </c>
      <c r="K304" s="88" t="s">
        <v>482</v>
      </c>
      <c r="L304" s="38" t="s">
        <v>34</v>
      </c>
      <c r="M304" s="90" t="s">
        <v>1</v>
      </c>
      <c r="N304" s="84">
        <v>165.87</v>
      </c>
      <c r="O304" s="84">
        <v>165.87</v>
      </c>
      <c r="P304" s="84">
        <v>209.51999999999998</v>
      </c>
      <c r="Q304" s="84">
        <v>165.87</v>
      </c>
      <c r="R304" s="84">
        <v>159.03</v>
      </c>
      <c r="S304" s="84">
        <v>209.25</v>
      </c>
      <c r="T304" s="84">
        <v>167.4</v>
      </c>
      <c r="U304" s="84">
        <v>209.25</v>
      </c>
      <c r="V304" s="84">
        <v>159.03</v>
      </c>
      <c r="W304" s="84">
        <v>150.66</v>
      </c>
      <c r="X304" s="84">
        <v>209.25</v>
      </c>
      <c r="Y304" s="84">
        <v>159.03</v>
      </c>
      <c r="Z304" s="123"/>
      <c r="AA304" s="37">
        <f t="shared" si="408"/>
        <v>3151.53</v>
      </c>
      <c r="AB304" s="37">
        <f t="shared" si="409"/>
        <v>3151.53</v>
      </c>
      <c r="AC304" s="37">
        <f t="shared" si="410"/>
        <v>3980.8799999999997</v>
      </c>
      <c r="AD304" s="37">
        <f t="shared" si="411"/>
        <v>3151.53</v>
      </c>
      <c r="AE304" s="37">
        <f t="shared" si="412"/>
        <v>3021.57</v>
      </c>
      <c r="AF304" s="37">
        <f t="shared" si="413"/>
        <v>3975.75</v>
      </c>
      <c r="AG304" s="37">
        <f t="shared" si="414"/>
        <v>3180.6</v>
      </c>
      <c r="AH304" s="37">
        <f t="shared" si="415"/>
        <v>3975.75</v>
      </c>
      <c r="AI304" s="37">
        <f t="shared" si="416"/>
        <v>3021.57</v>
      </c>
      <c r="AJ304" s="37">
        <f t="shared" si="417"/>
        <v>2862.54</v>
      </c>
      <c r="AK304" s="37">
        <f t="shared" si="418"/>
        <v>3975.75</v>
      </c>
      <c r="AL304" s="37">
        <f t="shared" si="419"/>
        <v>3021.57</v>
      </c>
      <c r="AM304" s="120">
        <v>1</v>
      </c>
    </row>
    <row r="305" spans="1:39" s="91" customFormat="1" ht="15.6">
      <c r="A305" s="96" t="s">
        <v>336</v>
      </c>
      <c r="B305" s="83" t="s">
        <v>89</v>
      </c>
      <c r="C305" s="88" t="s">
        <v>495</v>
      </c>
      <c r="D305" s="88" t="s">
        <v>788</v>
      </c>
      <c r="E305" s="88" t="s">
        <v>365</v>
      </c>
      <c r="F305" s="83" t="s">
        <v>29</v>
      </c>
      <c r="G305" s="83" t="s">
        <v>90</v>
      </c>
      <c r="H305" s="89">
        <v>8</v>
      </c>
      <c r="I305" s="108">
        <v>41</v>
      </c>
      <c r="J305" s="88" t="s">
        <v>125</v>
      </c>
      <c r="K305" s="88" t="s">
        <v>341</v>
      </c>
      <c r="L305" s="38" t="s">
        <v>34</v>
      </c>
      <c r="M305" s="90" t="s">
        <v>1</v>
      </c>
      <c r="N305" s="36">
        <v>174.6</v>
      </c>
      <c r="O305" s="36">
        <v>165.87</v>
      </c>
      <c r="P305" s="36">
        <v>200.79</v>
      </c>
      <c r="Q305" s="36">
        <v>174.6</v>
      </c>
      <c r="R305" s="36">
        <f>171-48</f>
        <v>123</v>
      </c>
      <c r="S305" s="84">
        <v>209.25</v>
      </c>
      <c r="T305" s="36">
        <v>167.4</v>
      </c>
      <c r="U305" s="36">
        <v>209.25</v>
      </c>
      <c r="V305" s="36">
        <v>159.03</v>
      </c>
      <c r="W305" s="36">
        <v>150.66</v>
      </c>
      <c r="X305" s="36">
        <v>200.88000000000002</v>
      </c>
      <c r="Y305" s="36">
        <v>159.03</v>
      </c>
      <c r="Z305" s="123"/>
      <c r="AA305" s="37">
        <f t="shared" si="408"/>
        <v>7158.5999999999995</v>
      </c>
      <c r="AB305" s="37">
        <f t="shared" si="409"/>
        <v>6800.67</v>
      </c>
      <c r="AC305" s="37">
        <f t="shared" si="410"/>
        <v>8232.39</v>
      </c>
      <c r="AD305" s="37">
        <f t="shared" si="411"/>
        <v>7158.5999999999995</v>
      </c>
      <c r="AE305" s="37">
        <f t="shared" si="412"/>
        <v>5043</v>
      </c>
      <c r="AF305" s="37">
        <f t="shared" si="413"/>
        <v>8579.25</v>
      </c>
      <c r="AG305" s="37">
        <f t="shared" si="414"/>
        <v>6863.4000000000005</v>
      </c>
      <c r="AH305" s="37">
        <f t="shared" si="415"/>
        <v>8579.25</v>
      </c>
      <c r="AI305" s="37">
        <f t="shared" si="416"/>
        <v>6520.2300000000005</v>
      </c>
      <c r="AJ305" s="37">
        <f t="shared" si="417"/>
        <v>6177.0599999999995</v>
      </c>
      <c r="AK305" s="37">
        <f t="shared" si="418"/>
        <v>8236.0800000000017</v>
      </c>
      <c r="AL305" s="37">
        <f t="shared" si="419"/>
        <v>6520.2300000000005</v>
      </c>
      <c r="AM305" s="120">
        <v>1</v>
      </c>
    </row>
    <row r="306" spans="1:39" s="91" customFormat="1" ht="15.6">
      <c r="A306" s="96" t="s">
        <v>336</v>
      </c>
      <c r="B306" s="83" t="s">
        <v>89</v>
      </c>
      <c r="C306" s="88" t="s">
        <v>370</v>
      </c>
      <c r="D306" s="88" t="s">
        <v>988</v>
      </c>
      <c r="E306" s="88" t="s">
        <v>371</v>
      </c>
      <c r="F306" s="83" t="s">
        <v>112</v>
      </c>
      <c r="G306" s="83" t="s">
        <v>73</v>
      </c>
      <c r="H306" s="89">
        <v>8</v>
      </c>
      <c r="I306" s="108">
        <v>132.5</v>
      </c>
      <c r="J306" s="88" t="s">
        <v>368</v>
      </c>
      <c r="K306" s="88" t="s">
        <v>372</v>
      </c>
      <c r="L306" s="88" t="s">
        <v>74</v>
      </c>
      <c r="M306" s="90" t="s">
        <v>2</v>
      </c>
      <c r="N306" s="84">
        <v>152</v>
      </c>
      <c r="O306" s="84">
        <v>152</v>
      </c>
      <c r="P306" s="84">
        <v>192</v>
      </c>
      <c r="Q306" s="84">
        <v>80</v>
      </c>
      <c r="R306" s="84">
        <v>76</v>
      </c>
      <c r="S306" s="84">
        <v>100</v>
      </c>
      <c r="T306" s="84">
        <v>76</v>
      </c>
      <c r="U306" s="84">
        <v>96</v>
      </c>
      <c r="V306" s="84">
        <v>76</v>
      </c>
      <c r="W306" s="84">
        <v>76</v>
      </c>
      <c r="X306" s="84">
        <v>96</v>
      </c>
      <c r="Y306" s="84">
        <v>76</v>
      </c>
      <c r="Z306" s="123" t="s">
        <v>1111</v>
      </c>
      <c r="AA306" s="37">
        <f t="shared" si="408"/>
        <v>20140</v>
      </c>
      <c r="AB306" s="37">
        <f t="shared" si="409"/>
        <v>20140</v>
      </c>
      <c r="AC306" s="37">
        <f t="shared" si="410"/>
        <v>25440</v>
      </c>
      <c r="AD306" s="37">
        <f t="shared" si="411"/>
        <v>10600</v>
      </c>
      <c r="AE306" s="37">
        <f t="shared" si="412"/>
        <v>10070</v>
      </c>
      <c r="AF306" s="37">
        <f t="shared" si="413"/>
        <v>13250</v>
      </c>
      <c r="AG306" s="37">
        <f t="shared" si="414"/>
        <v>10070</v>
      </c>
      <c r="AH306" s="37">
        <f t="shared" si="415"/>
        <v>12720</v>
      </c>
      <c r="AI306" s="37">
        <f t="shared" si="416"/>
        <v>10070</v>
      </c>
      <c r="AJ306" s="37">
        <f t="shared" si="417"/>
        <v>10070</v>
      </c>
      <c r="AK306" s="37">
        <f t="shared" si="418"/>
        <v>12720</v>
      </c>
      <c r="AL306" s="37">
        <f t="shared" si="419"/>
        <v>10070</v>
      </c>
      <c r="AM306" s="120">
        <v>0.5</v>
      </c>
    </row>
    <row r="307" spans="1:39" s="91" customFormat="1" ht="15.6">
      <c r="A307" s="96" t="s">
        <v>336</v>
      </c>
      <c r="B307" s="83" t="s">
        <v>89</v>
      </c>
      <c r="C307" s="88" t="s">
        <v>374</v>
      </c>
      <c r="D307" s="88" t="s">
        <v>989</v>
      </c>
      <c r="E307" s="88" t="s">
        <v>375</v>
      </c>
      <c r="F307" s="83" t="s">
        <v>637</v>
      </c>
      <c r="G307" s="83" t="s">
        <v>73</v>
      </c>
      <c r="H307" s="124">
        <v>7</v>
      </c>
      <c r="I307" s="108">
        <v>95.5</v>
      </c>
      <c r="J307" s="96" t="s">
        <v>368</v>
      </c>
      <c r="K307" s="125" t="s">
        <v>376</v>
      </c>
      <c r="L307" s="88" t="s">
        <v>74</v>
      </c>
      <c r="M307" s="90" t="s">
        <v>2</v>
      </c>
      <c r="N307" s="84">
        <v>171</v>
      </c>
      <c r="O307" s="84">
        <v>171</v>
      </c>
      <c r="P307" s="84">
        <v>216</v>
      </c>
      <c r="Q307" s="84">
        <v>180</v>
      </c>
      <c r="R307" s="84">
        <v>171</v>
      </c>
      <c r="S307" s="84">
        <v>225</v>
      </c>
      <c r="T307" s="84">
        <v>171</v>
      </c>
      <c r="U307" s="84">
        <v>216</v>
      </c>
      <c r="V307" s="84">
        <v>171</v>
      </c>
      <c r="W307" s="84">
        <v>171</v>
      </c>
      <c r="X307" s="84">
        <v>216</v>
      </c>
      <c r="Y307" s="84">
        <v>171</v>
      </c>
      <c r="Z307" s="127"/>
      <c r="AA307" s="37">
        <f t="shared" si="408"/>
        <v>16330.5</v>
      </c>
      <c r="AB307" s="37">
        <f t="shared" si="409"/>
        <v>16330.5</v>
      </c>
      <c r="AC307" s="37">
        <f t="shared" si="410"/>
        <v>20628</v>
      </c>
      <c r="AD307" s="37">
        <f t="shared" si="411"/>
        <v>17190</v>
      </c>
      <c r="AE307" s="37">
        <f t="shared" si="412"/>
        <v>16330.5</v>
      </c>
      <c r="AF307" s="37">
        <f t="shared" si="413"/>
        <v>21487.5</v>
      </c>
      <c r="AG307" s="37">
        <f t="shared" si="414"/>
        <v>16330.5</v>
      </c>
      <c r="AH307" s="37">
        <f t="shared" si="415"/>
        <v>20628</v>
      </c>
      <c r="AI307" s="37">
        <f t="shared" si="416"/>
        <v>16330.5</v>
      </c>
      <c r="AJ307" s="37">
        <f t="shared" si="417"/>
        <v>16330.5</v>
      </c>
      <c r="AK307" s="37">
        <f t="shared" si="418"/>
        <v>20628</v>
      </c>
      <c r="AL307" s="37">
        <f t="shared" si="419"/>
        <v>16330.5</v>
      </c>
      <c r="AM307" s="120">
        <v>1</v>
      </c>
    </row>
    <row r="308" spans="1:39" s="91" customFormat="1" ht="15.6">
      <c r="A308" s="96" t="s">
        <v>336</v>
      </c>
      <c r="B308" s="83" t="s">
        <v>89</v>
      </c>
      <c r="C308" s="88" t="s">
        <v>496</v>
      </c>
      <c r="D308" s="88" t="s">
        <v>990</v>
      </c>
      <c r="E308" s="88" t="s">
        <v>379</v>
      </c>
      <c r="F308" s="83" t="s">
        <v>29</v>
      </c>
      <c r="G308" s="83" t="s">
        <v>380</v>
      </c>
      <c r="H308" s="89" t="s">
        <v>36</v>
      </c>
      <c r="I308" s="108">
        <v>29.5</v>
      </c>
      <c r="J308" s="88" t="s">
        <v>368</v>
      </c>
      <c r="K308" s="88" t="s">
        <v>381</v>
      </c>
      <c r="L308" s="38" t="s">
        <v>34</v>
      </c>
      <c r="M308" s="90" t="s">
        <v>1</v>
      </c>
      <c r="N308" s="84">
        <v>165.87</v>
      </c>
      <c r="O308" s="84">
        <v>165.87</v>
      </c>
      <c r="P308" s="84">
        <v>209.51999999999998</v>
      </c>
      <c r="Q308" s="84">
        <v>174.6</v>
      </c>
      <c r="R308" s="84">
        <v>159.03</v>
      </c>
      <c r="S308" s="84">
        <v>209.25</v>
      </c>
      <c r="T308" s="84">
        <v>167.4</v>
      </c>
      <c r="U308" s="84">
        <v>209.25</v>
      </c>
      <c r="V308" s="84">
        <v>159.03</v>
      </c>
      <c r="W308" s="84">
        <v>150.66</v>
      </c>
      <c r="X308" s="84">
        <v>209.25</v>
      </c>
      <c r="Y308" s="84">
        <v>159.03</v>
      </c>
      <c r="Z308" s="123"/>
      <c r="AA308" s="37">
        <f t="shared" si="408"/>
        <v>4893.165</v>
      </c>
      <c r="AB308" s="37">
        <f t="shared" si="409"/>
        <v>4893.165</v>
      </c>
      <c r="AC308" s="37">
        <f t="shared" si="410"/>
        <v>6180.8399999999992</v>
      </c>
      <c r="AD308" s="37">
        <f t="shared" si="411"/>
        <v>5150.7</v>
      </c>
      <c r="AE308" s="37">
        <f t="shared" si="412"/>
        <v>4691.3850000000002</v>
      </c>
      <c r="AF308" s="37">
        <f t="shared" si="413"/>
        <v>6172.875</v>
      </c>
      <c r="AG308" s="37">
        <f t="shared" si="414"/>
        <v>4938.3</v>
      </c>
      <c r="AH308" s="37">
        <f t="shared" si="415"/>
        <v>6172.875</v>
      </c>
      <c r="AI308" s="37">
        <f t="shared" si="416"/>
        <v>4691.3850000000002</v>
      </c>
      <c r="AJ308" s="37">
        <f t="shared" si="417"/>
        <v>4444.47</v>
      </c>
      <c r="AK308" s="37">
        <f t="shared" si="418"/>
        <v>6172.875</v>
      </c>
      <c r="AL308" s="37">
        <f t="shared" si="419"/>
        <v>4691.3850000000002</v>
      </c>
      <c r="AM308" s="120">
        <v>1</v>
      </c>
    </row>
    <row r="309" spans="1:39" s="91" customFormat="1" ht="15.6">
      <c r="A309" s="96" t="s">
        <v>336</v>
      </c>
      <c r="B309" s="83" t="s">
        <v>89</v>
      </c>
      <c r="C309" s="88" t="s">
        <v>497</v>
      </c>
      <c r="D309" s="88" t="s">
        <v>991</v>
      </c>
      <c r="E309" s="88" t="s">
        <v>382</v>
      </c>
      <c r="F309" s="83" t="s">
        <v>29</v>
      </c>
      <c r="G309" s="83" t="s">
        <v>350</v>
      </c>
      <c r="H309" s="89" t="s">
        <v>44</v>
      </c>
      <c r="I309" s="108">
        <v>17</v>
      </c>
      <c r="J309" s="88" t="s">
        <v>368</v>
      </c>
      <c r="K309" s="88" t="s">
        <v>381</v>
      </c>
      <c r="L309" s="88" t="s">
        <v>34</v>
      </c>
      <c r="M309" s="90" t="s">
        <v>3</v>
      </c>
      <c r="N309" s="84">
        <v>166.84</v>
      </c>
      <c r="O309" s="84">
        <v>166.84</v>
      </c>
      <c r="P309" s="84">
        <v>210.48999999999998</v>
      </c>
      <c r="Q309" s="84">
        <v>166.84</v>
      </c>
      <c r="R309" s="36">
        <v>159.96</v>
      </c>
      <c r="S309" s="84">
        <v>209.25</v>
      </c>
      <c r="T309" s="84">
        <v>167.4</v>
      </c>
      <c r="U309" s="84">
        <v>209.25</v>
      </c>
      <c r="V309" s="84">
        <v>159.96</v>
      </c>
      <c r="W309" s="84">
        <v>152.52000000000001</v>
      </c>
      <c r="X309" s="84">
        <v>201.81</v>
      </c>
      <c r="Y309" s="84">
        <v>159.96</v>
      </c>
      <c r="Z309" s="123"/>
      <c r="AA309" s="37">
        <f t="shared" si="408"/>
        <v>2836.28</v>
      </c>
      <c r="AB309" s="37">
        <f t="shared" si="409"/>
        <v>2836.28</v>
      </c>
      <c r="AC309" s="37">
        <f t="shared" si="410"/>
        <v>3578.3299999999995</v>
      </c>
      <c r="AD309" s="37">
        <f t="shared" si="411"/>
        <v>2836.28</v>
      </c>
      <c r="AE309" s="37">
        <f t="shared" si="412"/>
        <v>2719.32</v>
      </c>
      <c r="AF309" s="37">
        <f t="shared" si="413"/>
        <v>3557.25</v>
      </c>
      <c r="AG309" s="37">
        <f t="shared" si="414"/>
        <v>2845.8</v>
      </c>
      <c r="AH309" s="37">
        <f t="shared" si="415"/>
        <v>3557.25</v>
      </c>
      <c r="AI309" s="37">
        <f t="shared" si="416"/>
        <v>2719.32</v>
      </c>
      <c r="AJ309" s="37">
        <f t="shared" si="417"/>
        <v>2592.84</v>
      </c>
      <c r="AK309" s="37">
        <f t="shared" si="418"/>
        <v>3430.77</v>
      </c>
      <c r="AL309" s="37">
        <f t="shared" si="419"/>
        <v>2719.32</v>
      </c>
      <c r="AM309" s="120">
        <v>1</v>
      </c>
    </row>
    <row r="310" spans="1:39" s="91" customFormat="1" ht="15.6">
      <c r="A310" s="96" t="s">
        <v>336</v>
      </c>
      <c r="B310" s="83" t="s">
        <v>89</v>
      </c>
      <c r="C310" s="88" t="s">
        <v>498</v>
      </c>
      <c r="D310" s="88" t="s">
        <v>992</v>
      </c>
      <c r="E310" s="85" t="s">
        <v>383</v>
      </c>
      <c r="F310" s="83" t="s">
        <v>29</v>
      </c>
      <c r="G310" s="83" t="s">
        <v>90</v>
      </c>
      <c r="H310" s="89" t="s">
        <v>60</v>
      </c>
      <c r="I310" s="108">
        <v>19</v>
      </c>
      <c r="J310" s="96" t="s">
        <v>368</v>
      </c>
      <c r="K310" s="88" t="s">
        <v>381</v>
      </c>
      <c r="L310" s="38" t="s">
        <v>34</v>
      </c>
      <c r="M310" s="90" t="s">
        <v>1</v>
      </c>
      <c r="N310" s="36">
        <v>174.6</v>
      </c>
      <c r="O310" s="36">
        <v>165.87</v>
      </c>
      <c r="P310" s="36">
        <v>200.79</v>
      </c>
      <c r="Q310" s="36">
        <v>174.6</v>
      </c>
      <c r="R310" s="36">
        <v>159.03</v>
      </c>
      <c r="S310" s="84">
        <f>216-9</f>
        <v>207</v>
      </c>
      <c r="T310" s="36">
        <v>167.4</v>
      </c>
      <c r="U310" s="36">
        <v>209.25</v>
      </c>
      <c r="V310" s="36">
        <v>159.03</v>
      </c>
      <c r="W310" s="36">
        <v>150.66</v>
      </c>
      <c r="X310" s="36">
        <v>200.88000000000002</v>
      </c>
      <c r="Y310" s="36">
        <v>159.03</v>
      </c>
      <c r="Z310" s="123"/>
      <c r="AA310" s="37">
        <f t="shared" si="408"/>
        <v>3317.4</v>
      </c>
      <c r="AB310" s="37">
        <f t="shared" si="409"/>
        <v>3151.53</v>
      </c>
      <c r="AC310" s="37">
        <f t="shared" si="410"/>
        <v>3815.0099999999998</v>
      </c>
      <c r="AD310" s="37">
        <f t="shared" si="411"/>
        <v>3317.4</v>
      </c>
      <c r="AE310" s="37">
        <f t="shared" si="412"/>
        <v>3021.57</v>
      </c>
      <c r="AF310" s="37">
        <f t="shared" si="413"/>
        <v>3933</v>
      </c>
      <c r="AG310" s="37">
        <f t="shared" si="414"/>
        <v>3180.6</v>
      </c>
      <c r="AH310" s="37">
        <f t="shared" si="415"/>
        <v>3975.75</v>
      </c>
      <c r="AI310" s="37">
        <f t="shared" si="416"/>
        <v>3021.57</v>
      </c>
      <c r="AJ310" s="37">
        <f t="shared" si="417"/>
        <v>2862.54</v>
      </c>
      <c r="AK310" s="37">
        <f t="shared" si="418"/>
        <v>3816.7200000000003</v>
      </c>
      <c r="AL310" s="37">
        <f t="shared" si="419"/>
        <v>3021.57</v>
      </c>
      <c r="AM310" s="120">
        <v>1</v>
      </c>
    </row>
    <row r="311" spans="1:39" s="91" customFormat="1" ht="15.6">
      <c r="A311" s="96" t="s">
        <v>336</v>
      </c>
      <c r="B311" s="83" t="s">
        <v>89</v>
      </c>
      <c r="C311" s="88" t="s">
        <v>499</v>
      </c>
      <c r="D311" s="88" t="s">
        <v>993</v>
      </c>
      <c r="E311" s="85" t="s">
        <v>384</v>
      </c>
      <c r="F311" s="83" t="s">
        <v>29</v>
      </c>
      <c r="G311" s="83" t="s">
        <v>90</v>
      </c>
      <c r="H311" s="89" t="s">
        <v>36</v>
      </c>
      <c r="I311" s="108">
        <v>29.5</v>
      </c>
      <c r="J311" s="88" t="s">
        <v>368</v>
      </c>
      <c r="K311" s="88" t="s">
        <v>385</v>
      </c>
      <c r="L311" s="38" t="s">
        <v>34</v>
      </c>
      <c r="M311" s="90" t="s">
        <v>1</v>
      </c>
      <c r="N311" s="36">
        <v>174.6</v>
      </c>
      <c r="O311" s="36">
        <v>165.87</v>
      </c>
      <c r="P311" s="36">
        <v>200.79</v>
      </c>
      <c r="Q311" s="36">
        <v>174.6</v>
      </c>
      <c r="R311" s="36">
        <f>171-36</f>
        <v>135</v>
      </c>
      <c r="S311" s="84">
        <f>(4+10)*9</f>
        <v>126</v>
      </c>
      <c r="T311" s="36">
        <v>167.4</v>
      </c>
      <c r="U311" s="36">
        <v>209.25</v>
      </c>
      <c r="V311" s="36">
        <v>159.03</v>
      </c>
      <c r="W311" s="36">
        <v>150.66</v>
      </c>
      <c r="X311" s="36">
        <v>200.88000000000002</v>
      </c>
      <c r="Y311" s="36">
        <v>159.03</v>
      </c>
      <c r="Z311" s="123"/>
      <c r="AA311" s="37">
        <f t="shared" si="408"/>
        <v>5150.7</v>
      </c>
      <c r="AB311" s="37">
        <f t="shared" si="409"/>
        <v>4893.165</v>
      </c>
      <c r="AC311" s="37">
        <f t="shared" si="410"/>
        <v>5923.3049999999994</v>
      </c>
      <c r="AD311" s="37">
        <f t="shared" si="411"/>
        <v>5150.7</v>
      </c>
      <c r="AE311" s="37">
        <f t="shared" si="412"/>
        <v>3982.5</v>
      </c>
      <c r="AF311" s="37">
        <f t="shared" si="413"/>
        <v>3717</v>
      </c>
      <c r="AG311" s="37">
        <f t="shared" si="414"/>
        <v>4938.3</v>
      </c>
      <c r="AH311" s="37">
        <f t="shared" si="415"/>
        <v>6172.875</v>
      </c>
      <c r="AI311" s="37">
        <f t="shared" si="416"/>
        <v>4691.3850000000002</v>
      </c>
      <c r="AJ311" s="37">
        <f t="shared" si="417"/>
        <v>4444.47</v>
      </c>
      <c r="AK311" s="37">
        <f t="shared" si="418"/>
        <v>5925.9600000000009</v>
      </c>
      <c r="AL311" s="37">
        <f t="shared" si="419"/>
        <v>4691.3850000000002</v>
      </c>
      <c r="AM311" s="120">
        <v>1</v>
      </c>
    </row>
    <row r="312" spans="1:39" s="91" customFormat="1" ht="15.6">
      <c r="A312" s="96" t="s">
        <v>336</v>
      </c>
      <c r="B312" s="83" t="s">
        <v>89</v>
      </c>
      <c r="C312" s="88" t="s">
        <v>500</v>
      </c>
      <c r="D312" s="88" t="s">
        <v>994</v>
      </c>
      <c r="E312" s="88" t="s">
        <v>386</v>
      </c>
      <c r="F312" s="83" t="s">
        <v>29</v>
      </c>
      <c r="G312" s="83" t="s">
        <v>387</v>
      </c>
      <c r="H312" s="89" t="s">
        <v>60</v>
      </c>
      <c r="I312" s="108">
        <v>19</v>
      </c>
      <c r="J312" s="88" t="s">
        <v>368</v>
      </c>
      <c r="K312" s="88" t="s">
        <v>385</v>
      </c>
      <c r="L312" s="38" t="s">
        <v>34</v>
      </c>
      <c r="M312" s="90" t="s">
        <v>1</v>
      </c>
      <c r="N312" s="84">
        <v>165.87</v>
      </c>
      <c r="O312" s="84">
        <v>165.87</v>
      </c>
      <c r="P312" s="84">
        <v>209.51999999999998</v>
      </c>
      <c r="Q312" s="84">
        <v>174.6</v>
      </c>
      <c r="R312" s="84">
        <v>159.03</v>
      </c>
      <c r="S312" s="84">
        <v>209.25</v>
      </c>
      <c r="T312" s="84">
        <v>167.4</v>
      </c>
      <c r="U312" s="84">
        <v>209.25</v>
      </c>
      <c r="V312" s="84">
        <v>159.03</v>
      </c>
      <c r="W312" s="84">
        <v>150.66</v>
      </c>
      <c r="X312" s="84">
        <v>209.25</v>
      </c>
      <c r="Y312" s="84">
        <v>159.03</v>
      </c>
      <c r="Z312" s="123"/>
      <c r="AA312" s="37">
        <f t="shared" si="408"/>
        <v>3151.53</v>
      </c>
      <c r="AB312" s="37">
        <f t="shared" si="409"/>
        <v>3151.53</v>
      </c>
      <c r="AC312" s="37">
        <f t="shared" si="410"/>
        <v>3980.8799999999997</v>
      </c>
      <c r="AD312" s="37">
        <f t="shared" si="411"/>
        <v>3317.4</v>
      </c>
      <c r="AE312" s="37">
        <f t="shared" si="412"/>
        <v>3021.57</v>
      </c>
      <c r="AF312" s="37">
        <f t="shared" si="413"/>
        <v>3975.75</v>
      </c>
      <c r="AG312" s="37">
        <f t="shared" si="414"/>
        <v>3180.6</v>
      </c>
      <c r="AH312" s="37">
        <f t="shared" si="415"/>
        <v>3975.75</v>
      </c>
      <c r="AI312" s="37">
        <f t="shared" si="416"/>
        <v>3021.57</v>
      </c>
      <c r="AJ312" s="37">
        <f t="shared" si="417"/>
        <v>2862.54</v>
      </c>
      <c r="AK312" s="37">
        <f t="shared" si="418"/>
        <v>3975.75</v>
      </c>
      <c r="AL312" s="37">
        <f t="shared" si="419"/>
        <v>3021.57</v>
      </c>
      <c r="AM312" s="120">
        <v>1</v>
      </c>
    </row>
    <row r="313" spans="1:39" s="91" customFormat="1" ht="15.6">
      <c r="A313" s="96" t="s">
        <v>336</v>
      </c>
      <c r="B313" s="83" t="s">
        <v>89</v>
      </c>
      <c r="C313" s="88" t="s">
        <v>501</v>
      </c>
      <c r="D313" s="88" t="s">
        <v>995</v>
      </c>
      <c r="E313" s="111" t="s">
        <v>388</v>
      </c>
      <c r="F313" s="83" t="s">
        <v>29</v>
      </c>
      <c r="G313" s="83" t="s">
        <v>30</v>
      </c>
      <c r="H313" s="89" t="s">
        <v>60</v>
      </c>
      <c r="I313" s="108">
        <v>22.5</v>
      </c>
      <c r="J313" s="88" t="s">
        <v>368</v>
      </c>
      <c r="K313" s="88" t="s">
        <v>385</v>
      </c>
      <c r="L313" s="88" t="s">
        <v>34</v>
      </c>
      <c r="M313" s="90" t="s">
        <v>3</v>
      </c>
      <c r="N313" s="84">
        <v>166.84</v>
      </c>
      <c r="O313" s="84">
        <v>166.84</v>
      </c>
      <c r="P313" s="84">
        <v>210.48999999999998</v>
      </c>
      <c r="Q313" s="84">
        <v>166.84</v>
      </c>
      <c r="R313" s="36">
        <v>159.96</v>
      </c>
      <c r="S313" s="84"/>
      <c r="T313" s="84"/>
      <c r="U313" s="84"/>
      <c r="V313" s="84"/>
      <c r="W313" s="84"/>
      <c r="X313" s="84"/>
      <c r="Y313" s="84"/>
      <c r="Z313" s="123" t="s">
        <v>1207</v>
      </c>
      <c r="AA313" s="37">
        <f t="shared" si="408"/>
        <v>3753.9</v>
      </c>
      <c r="AB313" s="37">
        <f t="shared" si="409"/>
        <v>3753.9</v>
      </c>
      <c r="AC313" s="37">
        <f t="shared" si="410"/>
        <v>4736.0249999999996</v>
      </c>
      <c r="AD313" s="37">
        <f t="shared" si="411"/>
        <v>3753.9</v>
      </c>
      <c r="AE313" s="37">
        <f t="shared" si="412"/>
        <v>3599.1000000000004</v>
      </c>
      <c r="AF313" s="37">
        <f t="shared" si="413"/>
        <v>0</v>
      </c>
      <c r="AG313" s="37">
        <f t="shared" si="414"/>
        <v>0</v>
      </c>
      <c r="AH313" s="37">
        <f t="shared" si="415"/>
        <v>0</v>
      </c>
      <c r="AI313" s="37">
        <f t="shared" si="416"/>
        <v>0</v>
      </c>
      <c r="AJ313" s="37">
        <f t="shared" si="417"/>
        <v>0</v>
      </c>
      <c r="AK313" s="37">
        <f t="shared" si="418"/>
        <v>0</v>
      </c>
      <c r="AL313" s="37">
        <f t="shared" si="419"/>
        <v>0</v>
      </c>
      <c r="AM313" s="120">
        <v>0</v>
      </c>
    </row>
    <row r="314" spans="1:39" s="91" customFormat="1" ht="15.6">
      <c r="A314" s="96" t="s">
        <v>336</v>
      </c>
      <c r="B314" s="83" t="s">
        <v>89</v>
      </c>
      <c r="C314" s="88" t="s">
        <v>502</v>
      </c>
      <c r="D314" s="88" t="s">
        <v>996</v>
      </c>
      <c r="E314" s="38" t="s">
        <v>389</v>
      </c>
      <c r="F314" s="83" t="s">
        <v>29</v>
      </c>
      <c r="G314" s="83" t="s">
        <v>350</v>
      </c>
      <c r="H314" s="89" t="s">
        <v>60</v>
      </c>
      <c r="I314" s="108">
        <v>22.5</v>
      </c>
      <c r="J314" s="88" t="s">
        <v>368</v>
      </c>
      <c r="K314" s="88" t="s">
        <v>385</v>
      </c>
      <c r="L314" s="88" t="s">
        <v>34</v>
      </c>
      <c r="M314" s="90" t="s">
        <v>3</v>
      </c>
      <c r="N314" s="84">
        <v>166.84</v>
      </c>
      <c r="O314" s="84">
        <v>166.84</v>
      </c>
      <c r="P314" s="84">
        <v>210.48999999999998</v>
      </c>
      <c r="Q314" s="84">
        <v>166.84</v>
      </c>
      <c r="R314" s="36">
        <v>159.96</v>
      </c>
      <c r="S314" s="84">
        <v>209.25</v>
      </c>
      <c r="T314" s="84">
        <v>167.4</v>
      </c>
      <c r="U314" s="84">
        <v>209.25</v>
      </c>
      <c r="V314" s="84">
        <v>159.96</v>
      </c>
      <c r="W314" s="84">
        <v>152.52000000000001</v>
      </c>
      <c r="X314" s="84">
        <v>201.81</v>
      </c>
      <c r="Y314" s="84">
        <v>159.96</v>
      </c>
      <c r="Z314" s="123"/>
      <c r="AA314" s="37">
        <f t="shared" si="408"/>
        <v>3753.9</v>
      </c>
      <c r="AB314" s="37">
        <f t="shared" si="409"/>
        <v>3753.9</v>
      </c>
      <c r="AC314" s="37">
        <f t="shared" si="410"/>
        <v>4736.0249999999996</v>
      </c>
      <c r="AD314" s="37">
        <f t="shared" si="411"/>
        <v>3753.9</v>
      </c>
      <c r="AE314" s="37">
        <f t="shared" si="412"/>
        <v>3599.1000000000004</v>
      </c>
      <c r="AF314" s="37">
        <f t="shared" si="413"/>
        <v>4708.125</v>
      </c>
      <c r="AG314" s="37">
        <f t="shared" si="414"/>
        <v>3766.5</v>
      </c>
      <c r="AH314" s="37">
        <f t="shared" si="415"/>
        <v>4708.125</v>
      </c>
      <c r="AI314" s="37">
        <f t="shared" si="416"/>
        <v>3599.1000000000004</v>
      </c>
      <c r="AJ314" s="37">
        <f t="shared" si="417"/>
        <v>3431.7000000000003</v>
      </c>
      <c r="AK314" s="37">
        <f t="shared" si="418"/>
        <v>4540.7250000000004</v>
      </c>
      <c r="AL314" s="37">
        <f t="shared" si="419"/>
        <v>3599.1000000000004</v>
      </c>
      <c r="AM314" s="120">
        <v>1</v>
      </c>
    </row>
    <row r="315" spans="1:39" s="91" customFormat="1" ht="15.6">
      <c r="A315" s="96" t="s">
        <v>336</v>
      </c>
      <c r="B315" s="83" t="s">
        <v>89</v>
      </c>
      <c r="C315" s="88" t="s">
        <v>503</v>
      </c>
      <c r="D315" s="88" t="s">
        <v>997</v>
      </c>
      <c r="E315" s="38" t="s">
        <v>390</v>
      </c>
      <c r="F315" s="83" t="s">
        <v>29</v>
      </c>
      <c r="G315" s="83" t="s">
        <v>30</v>
      </c>
      <c r="H315" s="89" t="s">
        <v>60</v>
      </c>
      <c r="I315" s="108">
        <v>19</v>
      </c>
      <c r="J315" s="88" t="s">
        <v>368</v>
      </c>
      <c r="K315" s="88" t="s">
        <v>381</v>
      </c>
      <c r="L315" s="38" t="s">
        <v>34</v>
      </c>
      <c r="M315" s="90" t="s">
        <v>1</v>
      </c>
      <c r="N315" s="84">
        <v>165.87</v>
      </c>
      <c r="O315" s="84">
        <v>165.87</v>
      </c>
      <c r="P315" s="84">
        <v>209.51999999999998</v>
      </c>
      <c r="Q315" s="84">
        <v>165.87</v>
      </c>
      <c r="R315" s="84">
        <v>159.03</v>
      </c>
      <c r="S315" s="84">
        <v>209.25</v>
      </c>
      <c r="T315" s="84">
        <v>167.4</v>
      </c>
      <c r="U315" s="84">
        <v>209.25</v>
      </c>
      <c r="V315" s="84">
        <v>159.03</v>
      </c>
      <c r="W315" s="84">
        <v>150.66</v>
      </c>
      <c r="X315" s="84">
        <v>209.25</v>
      </c>
      <c r="Y315" s="84">
        <v>159.03</v>
      </c>
      <c r="Z315" s="123"/>
      <c r="AA315" s="37">
        <f t="shared" si="408"/>
        <v>3151.53</v>
      </c>
      <c r="AB315" s="37">
        <f t="shared" si="409"/>
        <v>3151.53</v>
      </c>
      <c r="AC315" s="37">
        <f t="shared" si="410"/>
        <v>3980.8799999999997</v>
      </c>
      <c r="AD315" s="37">
        <f t="shared" si="411"/>
        <v>3151.53</v>
      </c>
      <c r="AE315" s="37">
        <f t="shared" si="412"/>
        <v>3021.57</v>
      </c>
      <c r="AF315" s="37">
        <f t="shared" si="413"/>
        <v>3975.75</v>
      </c>
      <c r="AG315" s="37">
        <f t="shared" si="414"/>
        <v>3180.6</v>
      </c>
      <c r="AH315" s="37">
        <f t="shared" si="415"/>
        <v>3975.75</v>
      </c>
      <c r="AI315" s="37">
        <f t="shared" si="416"/>
        <v>3021.57</v>
      </c>
      <c r="AJ315" s="37">
        <f t="shared" si="417"/>
        <v>2862.54</v>
      </c>
      <c r="AK315" s="37">
        <f t="shared" si="418"/>
        <v>3975.75</v>
      </c>
      <c r="AL315" s="37">
        <f t="shared" si="419"/>
        <v>3021.57</v>
      </c>
      <c r="AM315" s="120">
        <v>1</v>
      </c>
    </row>
    <row r="316" spans="1:39" s="91" customFormat="1" ht="15.6">
      <c r="A316" s="96" t="s">
        <v>336</v>
      </c>
      <c r="B316" s="83" t="s">
        <v>89</v>
      </c>
      <c r="C316" s="88" t="s">
        <v>504</v>
      </c>
      <c r="D316" s="88" t="s">
        <v>998</v>
      </c>
      <c r="E316" s="85" t="s">
        <v>391</v>
      </c>
      <c r="F316" s="83" t="s">
        <v>29</v>
      </c>
      <c r="G316" s="83" t="s">
        <v>355</v>
      </c>
      <c r="H316" s="89" t="s">
        <v>60</v>
      </c>
      <c r="I316" s="108">
        <v>19</v>
      </c>
      <c r="J316" s="96" t="s">
        <v>368</v>
      </c>
      <c r="K316" s="88" t="s">
        <v>385</v>
      </c>
      <c r="L316" s="38" t="s">
        <v>34</v>
      </c>
      <c r="M316" s="90" t="s">
        <v>1</v>
      </c>
      <c r="N316" s="84">
        <v>165.87</v>
      </c>
      <c r="O316" s="84">
        <v>165.87</v>
      </c>
      <c r="P316" s="84">
        <v>209.51999999999998</v>
      </c>
      <c r="Q316" s="84">
        <v>165.87</v>
      </c>
      <c r="R316" s="36">
        <v>159.03</v>
      </c>
      <c r="S316" s="84">
        <f>216-18</f>
        <v>198</v>
      </c>
      <c r="T316" s="84">
        <v>167.4</v>
      </c>
      <c r="U316" s="84">
        <v>209.25</v>
      </c>
      <c r="V316" s="84">
        <v>159.03</v>
      </c>
      <c r="W316" s="84">
        <v>150.66</v>
      </c>
      <c r="X316" s="84">
        <v>209.25</v>
      </c>
      <c r="Y316" s="84">
        <v>159.03</v>
      </c>
      <c r="Z316" s="127"/>
      <c r="AA316" s="37">
        <f t="shared" si="408"/>
        <v>3151.53</v>
      </c>
      <c r="AB316" s="37">
        <f t="shared" si="409"/>
        <v>3151.53</v>
      </c>
      <c r="AC316" s="37">
        <f t="shared" si="410"/>
        <v>3980.8799999999997</v>
      </c>
      <c r="AD316" s="37">
        <f t="shared" si="411"/>
        <v>3151.53</v>
      </c>
      <c r="AE316" s="37">
        <f t="shared" si="412"/>
        <v>3021.57</v>
      </c>
      <c r="AF316" s="37">
        <f t="shared" si="413"/>
        <v>3762</v>
      </c>
      <c r="AG316" s="37">
        <f t="shared" si="414"/>
        <v>3180.6</v>
      </c>
      <c r="AH316" s="37">
        <f t="shared" si="415"/>
        <v>3975.75</v>
      </c>
      <c r="AI316" s="37">
        <f t="shared" si="416"/>
        <v>3021.57</v>
      </c>
      <c r="AJ316" s="37">
        <f t="shared" si="417"/>
        <v>2862.54</v>
      </c>
      <c r="AK316" s="37">
        <f t="shared" si="418"/>
        <v>3975.75</v>
      </c>
      <c r="AL316" s="37">
        <f t="shared" si="419"/>
        <v>3021.57</v>
      </c>
      <c r="AM316" s="120">
        <v>1</v>
      </c>
    </row>
    <row r="317" spans="1:39" s="91" customFormat="1" ht="15.6">
      <c r="A317" s="96" t="s">
        <v>336</v>
      </c>
      <c r="B317" s="83" t="s">
        <v>89</v>
      </c>
      <c r="C317" s="88" t="s">
        <v>505</v>
      </c>
      <c r="D317" s="88" t="s">
        <v>999</v>
      </c>
      <c r="E317" s="128" t="s">
        <v>392</v>
      </c>
      <c r="F317" s="83" t="s">
        <v>29</v>
      </c>
      <c r="G317" s="83" t="s">
        <v>90</v>
      </c>
      <c r="H317" s="89" t="s">
        <v>36</v>
      </c>
      <c r="I317" s="108">
        <v>30.5</v>
      </c>
      <c r="J317" s="88" t="s">
        <v>368</v>
      </c>
      <c r="K317" s="88" t="s">
        <v>393</v>
      </c>
      <c r="L317" s="38" t="s">
        <v>34</v>
      </c>
      <c r="M317" s="90" t="s">
        <v>1</v>
      </c>
      <c r="N317" s="36">
        <v>174.6</v>
      </c>
      <c r="O317" s="36">
        <v>165.87</v>
      </c>
      <c r="P317" s="36">
        <f>9*10</f>
        <v>90</v>
      </c>
      <c r="Q317" s="36"/>
      <c r="R317" s="36"/>
      <c r="S317" s="36"/>
      <c r="T317" s="36"/>
      <c r="U317" s="36"/>
      <c r="V317" s="36"/>
      <c r="W317" s="36"/>
      <c r="X317" s="36"/>
      <c r="Y317" s="36"/>
      <c r="Z317" s="123" t="s">
        <v>1055</v>
      </c>
      <c r="AA317" s="37">
        <f t="shared" si="408"/>
        <v>5325.3</v>
      </c>
      <c r="AB317" s="37">
        <f t="shared" si="409"/>
        <v>5059.0349999999999</v>
      </c>
      <c r="AC317" s="37">
        <f t="shared" si="410"/>
        <v>2745</v>
      </c>
      <c r="AD317" s="37">
        <f t="shared" si="411"/>
        <v>0</v>
      </c>
      <c r="AE317" s="37">
        <f t="shared" si="412"/>
        <v>0</v>
      </c>
      <c r="AF317" s="37">
        <f t="shared" si="413"/>
        <v>0</v>
      </c>
      <c r="AG317" s="37">
        <f t="shared" si="414"/>
        <v>0</v>
      </c>
      <c r="AH317" s="37">
        <f t="shared" si="415"/>
        <v>0</v>
      </c>
      <c r="AI317" s="37">
        <f t="shared" si="416"/>
        <v>0</v>
      </c>
      <c r="AJ317" s="37">
        <f t="shared" si="417"/>
        <v>0</v>
      </c>
      <c r="AK317" s="37">
        <f t="shared" si="418"/>
        <v>0</v>
      </c>
      <c r="AL317" s="37">
        <f t="shared" si="419"/>
        <v>0</v>
      </c>
      <c r="AM317" s="120">
        <v>0</v>
      </c>
    </row>
    <row r="318" spans="1:39" s="91" customFormat="1" ht="15.6">
      <c r="A318" s="96" t="s">
        <v>336</v>
      </c>
      <c r="B318" s="83" t="s">
        <v>89</v>
      </c>
      <c r="C318" s="88" t="s">
        <v>506</v>
      </c>
      <c r="D318" s="88" t="s">
        <v>1000</v>
      </c>
      <c r="E318" s="85" t="s">
        <v>394</v>
      </c>
      <c r="F318" s="83" t="s">
        <v>29</v>
      </c>
      <c r="G318" s="83" t="s">
        <v>30</v>
      </c>
      <c r="H318" s="89" t="s">
        <v>60</v>
      </c>
      <c r="I318" s="108">
        <v>19</v>
      </c>
      <c r="J318" s="96" t="s">
        <v>368</v>
      </c>
      <c r="K318" s="88" t="s">
        <v>393</v>
      </c>
      <c r="L318" s="38" t="s">
        <v>34</v>
      </c>
      <c r="M318" s="90" t="s">
        <v>1</v>
      </c>
      <c r="N318" s="84">
        <v>165.87</v>
      </c>
      <c r="O318" s="84">
        <v>165.87</v>
      </c>
      <c r="P318" s="84">
        <v>209.51999999999998</v>
      </c>
      <c r="Q318" s="84">
        <v>165.87</v>
      </c>
      <c r="R318" s="84">
        <v>159.03</v>
      </c>
      <c r="S318" s="84">
        <v>209.25</v>
      </c>
      <c r="T318" s="84">
        <v>167.4</v>
      </c>
      <c r="U318" s="84">
        <v>209.25</v>
      </c>
      <c r="V318" s="84">
        <v>159.03</v>
      </c>
      <c r="W318" s="84">
        <v>150.66</v>
      </c>
      <c r="X318" s="84">
        <v>209.25</v>
      </c>
      <c r="Y318" s="84">
        <v>159.03</v>
      </c>
      <c r="Z318" s="127"/>
      <c r="AA318" s="37">
        <f t="shared" si="408"/>
        <v>3151.53</v>
      </c>
      <c r="AB318" s="37">
        <f t="shared" si="409"/>
        <v>3151.53</v>
      </c>
      <c r="AC318" s="37">
        <f t="shared" si="410"/>
        <v>3980.8799999999997</v>
      </c>
      <c r="AD318" s="37">
        <f t="shared" si="411"/>
        <v>3151.53</v>
      </c>
      <c r="AE318" s="37">
        <f t="shared" si="412"/>
        <v>3021.57</v>
      </c>
      <c r="AF318" s="37">
        <f t="shared" si="413"/>
        <v>3975.75</v>
      </c>
      <c r="AG318" s="37">
        <f t="shared" si="414"/>
        <v>3180.6</v>
      </c>
      <c r="AH318" s="37">
        <f t="shared" si="415"/>
        <v>3975.75</v>
      </c>
      <c r="AI318" s="37">
        <f t="shared" si="416"/>
        <v>3021.57</v>
      </c>
      <c r="AJ318" s="37">
        <f t="shared" si="417"/>
        <v>2862.54</v>
      </c>
      <c r="AK318" s="37">
        <f t="shared" si="418"/>
        <v>3975.75</v>
      </c>
      <c r="AL318" s="37">
        <f t="shared" si="419"/>
        <v>3021.57</v>
      </c>
      <c r="AM318" s="120">
        <v>1</v>
      </c>
    </row>
    <row r="319" spans="1:39" s="91" customFormat="1" ht="15.6">
      <c r="A319" s="96" t="s">
        <v>336</v>
      </c>
      <c r="B319" s="83" t="s">
        <v>89</v>
      </c>
      <c r="C319" s="88" t="s">
        <v>629</v>
      </c>
      <c r="D319" s="88" t="s">
        <v>1001</v>
      </c>
      <c r="E319" s="128" t="s">
        <v>628</v>
      </c>
      <c r="F319" s="83" t="s">
        <v>29</v>
      </c>
      <c r="G319" s="83" t="s">
        <v>120</v>
      </c>
      <c r="H319" s="89">
        <v>4</v>
      </c>
      <c r="I319" s="108">
        <v>9</v>
      </c>
      <c r="J319" s="88" t="s">
        <v>368</v>
      </c>
      <c r="K319" s="88" t="s">
        <v>393</v>
      </c>
      <c r="L319" s="88" t="s">
        <v>34</v>
      </c>
      <c r="M319" s="90" t="s">
        <v>3</v>
      </c>
      <c r="N319" s="84">
        <v>166.84</v>
      </c>
      <c r="O319" s="84">
        <v>166.84</v>
      </c>
      <c r="P319" s="84">
        <f>9*14</f>
        <v>126</v>
      </c>
      <c r="Q319" s="84"/>
      <c r="R319" s="36"/>
      <c r="S319" s="36"/>
      <c r="T319" s="36"/>
      <c r="U319" s="36"/>
      <c r="V319" s="36"/>
      <c r="W319" s="36"/>
      <c r="X319" s="36"/>
      <c r="Y319" s="36"/>
      <c r="Z319" s="123" t="s">
        <v>801</v>
      </c>
      <c r="AA319" s="37">
        <f t="shared" si="408"/>
        <v>1501.56</v>
      </c>
      <c r="AB319" s="37">
        <f t="shared" si="409"/>
        <v>1501.56</v>
      </c>
      <c r="AC319" s="37">
        <f t="shared" si="410"/>
        <v>1134</v>
      </c>
      <c r="AD319" s="37">
        <f t="shared" si="411"/>
        <v>0</v>
      </c>
      <c r="AE319" s="37">
        <f t="shared" si="412"/>
        <v>0</v>
      </c>
      <c r="AF319" s="37">
        <f t="shared" si="413"/>
        <v>0</v>
      </c>
      <c r="AG319" s="37">
        <f t="shared" si="414"/>
        <v>0</v>
      </c>
      <c r="AH319" s="37">
        <f t="shared" si="415"/>
        <v>0</v>
      </c>
      <c r="AI319" s="37">
        <f t="shared" si="416"/>
        <v>0</v>
      </c>
      <c r="AJ319" s="37">
        <f t="shared" si="417"/>
        <v>0</v>
      </c>
      <c r="AK319" s="37">
        <f t="shared" si="418"/>
        <v>0</v>
      </c>
      <c r="AL319" s="37">
        <f t="shared" si="419"/>
        <v>0</v>
      </c>
      <c r="AM319" s="120">
        <v>0</v>
      </c>
    </row>
    <row r="320" spans="1:39" s="91" customFormat="1" ht="15.6">
      <c r="A320" s="96" t="s">
        <v>336</v>
      </c>
      <c r="B320" s="83" t="s">
        <v>89</v>
      </c>
      <c r="C320" s="88" t="s">
        <v>1061</v>
      </c>
      <c r="D320" s="88" t="s">
        <v>1060</v>
      </c>
      <c r="E320" s="85" t="s">
        <v>1112</v>
      </c>
      <c r="F320" s="83" t="s">
        <v>29</v>
      </c>
      <c r="G320" s="83" t="s">
        <v>30</v>
      </c>
      <c r="H320" s="89" t="s">
        <v>44</v>
      </c>
      <c r="I320" s="108">
        <v>17</v>
      </c>
      <c r="J320" s="96" t="s">
        <v>368</v>
      </c>
      <c r="K320" s="88" t="s">
        <v>393</v>
      </c>
      <c r="L320" s="38" t="s">
        <v>34</v>
      </c>
      <c r="M320" s="90" t="s">
        <v>1</v>
      </c>
      <c r="N320" s="84"/>
      <c r="O320" s="84"/>
      <c r="P320" s="84">
        <v>209.51999999999998</v>
      </c>
      <c r="Q320" s="84">
        <v>165.87</v>
      </c>
      <c r="R320" s="84">
        <f>171-72</f>
        <v>99</v>
      </c>
      <c r="S320" s="84">
        <v>209.25</v>
      </c>
      <c r="T320" s="84">
        <v>167.4</v>
      </c>
      <c r="U320" s="84">
        <v>209.25</v>
      </c>
      <c r="V320" s="84">
        <v>159.03</v>
      </c>
      <c r="W320" s="84">
        <v>150.66</v>
      </c>
      <c r="X320" s="84">
        <v>209.25</v>
      </c>
      <c r="Y320" s="84">
        <v>159.03</v>
      </c>
      <c r="Z320" s="127" t="s">
        <v>1062</v>
      </c>
      <c r="AA320" s="37">
        <f t="shared" si="408"/>
        <v>0</v>
      </c>
      <c r="AB320" s="37">
        <f t="shared" si="409"/>
        <v>0</v>
      </c>
      <c r="AC320" s="37">
        <f t="shared" si="410"/>
        <v>3561.8399999999997</v>
      </c>
      <c r="AD320" s="37">
        <f t="shared" si="411"/>
        <v>2819.79</v>
      </c>
      <c r="AE320" s="37">
        <f t="shared" si="412"/>
        <v>1683</v>
      </c>
      <c r="AF320" s="37">
        <f t="shared" si="413"/>
        <v>3557.25</v>
      </c>
      <c r="AG320" s="37">
        <f t="shared" si="414"/>
        <v>2845.8</v>
      </c>
      <c r="AH320" s="37">
        <f t="shared" si="415"/>
        <v>3557.25</v>
      </c>
      <c r="AI320" s="37">
        <f t="shared" si="416"/>
        <v>2703.51</v>
      </c>
      <c r="AJ320" s="37">
        <f t="shared" si="417"/>
        <v>2561.2199999999998</v>
      </c>
      <c r="AK320" s="37">
        <f t="shared" si="418"/>
        <v>3557.25</v>
      </c>
      <c r="AL320" s="37">
        <f t="shared" si="419"/>
        <v>2703.51</v>
      </c>
      <c r="AM320" s="120">
        <v>1</v>
      </c>
    </row>
    <row r="321" spans="1:39" s="91" customFormat="1" ht="15.6">
      <c r="A321" s="96" t="s">
        <v>336</v>
      </c>
      <c r="B321" s="83" t="s">
        <v>89</v>
      </c>
      <c r="C321" s="88" t="s">
        <v>507</v>
      </c>
      <c r="D321" s="88" t="s">
        <v>1002</v>
      </c>
      <c r="E321" s="85" t="s">
        <v>395</v>
      </c>
      <c r="F321" s="83" t="s">
        <v>29</v>
      </c>
      <c r="G321" s="83" t="s">
        <v>90</v>
      </c>
      <c r="H321" s="89" t="s">
        <v>31</v>
      </c>
      <c r="I321" s="108">
        <v>30.5</v>
      </c>
      <c r="J321" s="88" t="s">
        <v>368</v>
      </c>
      <c r="K321" s="88" t="s">
        <v>396</v>
      </c>
      <c r="L321" s="38" t="s">
        <v>34</v>
      </c>
      <c r="M321" s="90" t="s">
        <v>1</v>
      </c>
      <c r="N321" s="36">
        <v>174.6</v>
      </c>
      <c r="O321" s="36">
        <v>165.87</v>
      </c>
      <c r="P321" s="36">
        <v>200.79</v>
      </c>
      <c r="Q321" s="36">
        <v>174.6</v>
      </c>
      <c r="R321" s="36">
        <v>159.03</v>
      </c>
      <c r="S321" s="84">
        <v>209.25</v>
      </c>
      <c r="T321" s="36">
        <v>167.4</v>
      </c>
      <c r="U321" s="36">
        <v>209.25</v>
      </c>
      <c r="V321" s="36">
        <v>159.03</v>
      </c>
      <c r="W321" s="36">
        <v>150.66</v>
      </c>
      <c r="X321" s="36">
        <v>200.88000000000002</v>
      </c>
      <c r="Y321" s="36">
        <v>159.03</v>
      </c>
      <c r="Z321" s="123"/>
      <c r="AA321" s="37">
        <f t="shared" si="408"/>
        <v>5325.3</v>
      </c>
      <c r="AB321" s="37">
        <f t="shared" si="409"/>
        <v>5059.0349999999999</v>
      </c>
      <c r="AC321" s="37">
        <f t="shared" si="410"/>
        <v>6124.0949999999993</v>
      </c>
      <c r="AD321" s="37">
        <f t="shared" si="411"/>
        <v>5325.3</v>
      </c>
      <c r="AE321" s="37">
        <f t="shared" si="412"/>
        <v>4850.415</v>
      </c>
      <c r="AF321" s="37">
        <f t="shared" si="413"/>
        <v>6382.125</v>
      </c>
      <c r="AG321" s="37">
        <f t="shared" si="414"/>
        <v>5105.7</v>
      </c>
      <c r="AH321" s="37">
        <f t="shared" si="415"/>
        <v>6382.125</v>
      </c>
      <c r="AI321" s="37">
        <f t="shared" si="416"/>
        <v>4850.415</v>
      </c>
      <c r="AJ321" s="37">
        <f t="shared" si="417"/>
        <v>4595.13</v>
      </c>
      <c r="AK321" s="37">
        <f t="shared" si="418"/>
        <v>6126.8400000000011</v>
      </c>
      <c r="AL321" s="37">
        <f t="shared" si="419"/>
        <v>4850.415</v>
      </c>
      <c r="AM321" s="120">
        <v>1</v>
      </c>
    </row>
    <row r="322" spans="1:39" s="91" customFormat="1" ht="15.6">
      <c r="A322" s="96" t="s">
        <v>336</v>
      </c>
      <c r="B322" s="83" t="s">
        <v>89</v>
      </c>
      <c r="C322" s="88" t="s">
        <v>508</v>
      </c>
      <c r="D322" s="88" t="s">
        <v>1003</v>
      </c>
      <c r="E322" s="128" t="s">
        <v>478</v>
      </c>
      <c r="F322" s="83" t="s">
        <v>29</v>
      </c>
      <c r="G322" s="83" t="s">
        <v>350</v>
      </c>
      <c r="H322" s="89" t="s">
        <v>60</v>
      </c>
      <c r="I322" s="108">
        <v>22.5</v>
      </c>
      <c r="J322" s="88" t="s">
        <v>368</v>
      </c>
      <c r="K322" s="88" t="s">
        <v>396</v>
      </c>
      <c r="L322" s="88" t="s">
        <v>34</v>
      </c>
      <c r="M322" s="90" t="s">
        <v>3</v>
      </c>
      <c r="N322" s="84">
        <v>166.84</v>
      </c>
      <c r="O322" s="84">
        <v>166.84</v>
      </c>
      <c r="P322" s="84">
        <v>210.48999999999998</v>
      </c>
      <c r="Q322" s="84">
        <v>166.84</v>
      </c>
      <c r="R322" s="36">
        <v>159.96</v>
      </c>
      <c r="S322" s="84">
        <v>209.25</v>
      </c>
      <c r="T322" s="84"/>
      <c r="U322" s="84"/>
      <c r="V322" s="84"/>
      <c r="W322" s="84"/>
      <c r="X322" s="84"/>
      <c r="Y322" s="84"/>
      <c r="Z322" s="123" t="s">
        <v>1147</v>
      </c>
      <c r="AA322" s="37">
        <f t="shared" si="408"/>
        <v>3753.9</v>
      </c>
      <c r="AB322" s="37">
        <f t="shared" si="409"/>
        <v>3753.9</v>
      </c>
      <c r="AC322" s="37">
        <f t="shared" si="410"/>
        <v>4736.0249999999996</v>
      </c>
      <c r="AD322" s="37">
        <f t="shared" si="411"/>
        <v>3753.9</v>
      </c>
      <c r="AE322" s="37">
        <f t="shared" si="412"/>
        <v>3599.1000000000004</v>
      </c>
      <c r="AF322" s="37">
        <f t="shared" si="413"/>
        <v>4708.125</v>
      </c>
      <c r="AG322" s="37">
        <f t="shared" si="414"/>
        <v>0</v>
      </c>
      <c r="AH322" s="37">
        <f t="shared" si="415"/>
        <v>0</v>
      </c>
      <c r="AI322" s="37">
        <f t="shared" si="416"/>
        <v>0</v>
      </c>
      <c r="AJ322" s="37">
        <f t="shared" si="417"/>
        <v>0</v>
      </c>
      <c r="AK322" s="37">
        <f t="shared" si="418"/>
        <v>0</v>
      </c>
      <c r="AL322" s="37">
        <f t="shared" si="419"/>
        <v>0</v>
      </c>
      <c r="AM322" s="120">
        <v>0</v>
      </c>
    </row>
    <row r="323" spans="1:39" s="91" customFormat="1" ht="15.6">
      <c r="A323" s="96" t="s">
        <v>336</v>
      </c>
      <c r="B323" s="83" t="s">
        <v>89</v>
      </c>
      <c r="C323" s="88" t="s">
        <v>1151</v>
      </c>
      <c r="D323" s="88" t="s">
        <v>1150</v>
      </c>
      <c r="E323" s="85" t="s">
        <v>1149</v>
      </c>
      <c r="F323" s="83" t="s">
        <v>29</v>
      </c>
      <c r="G323" s="83" t="s">
        <v>350</v>
      </c>
      <c r="H323" s="89" t="s">
        <v>101</v>
      </c>
      <c r="I323" s="108">
        <v>14</v>
      </c>
      <c r="J323" s="88" t="s">
        <v>368</v>
      </c>
      <c r="K323" s="88" t="s">
        <v>396</v>
      </c>
      <c r="L323" s="38" t="s">
        <v>34</v>
      </c>
      <c r="M323" s="90" t="s">
        <v>1</v>
      </c>
      <c r="N323" s="84"/>
      <c r="O323" s="84"/>
      <c r="P323" s="84"/>
      <c r="Q323" s="84"/>
      <c r="R323" s="36"/>
      <c r="S323" s="84">
        <f>8*9</f>
        <v>72</v>
      </c>
      <c r="T323" s="84">
        <v>167.4</v>
      </c>
      <c r="U323" s="84">
        <v>209.25</v>
      </c>
      <c r="V323" s="84">
        <v>159.96</v>
      </c>
      <c r="W323" s="84">
        <v>152.52000000000001</v>
      </c>
      <c r="X323" s="84">
        <v>201.81</v>
      </c>
      <c r="Y323" s="84">
        <v>159.96</v>
      </c>
      <c r="Z323" s="85" t="s">
        <v>1148</v>
      </c>
      <c r="AA323" s="37">
        <f t="shared" ref="AA323" si="420">$I323*N323</f>
        <v>0</v>
      </c>
      <c r="AB323" s="37">
        <f t="shared" ref="AB323" si="421">$I323*O323</f>
        <v>0</v>
      </c>
      <c r="AC323" s="37">
        <f t="shared" ref="AC323" si="422">$I323*P323</f>
        <v>0</v>
      </c>
      <c r="AD323" s="37">
        <f t="shared" ref="AD323" si="423">$I323*Q323</f>
        <v>0</v>
      </c>
      <c r="AE323" s="37">
        <f t="shared" ref="AE323" si="424">$I323*R323</f>
        <v>0</v>
      </c>
      <c r="AF323" s="37">
        <f t="shared" ref="AF323" si="425">$I323*S323</f>
        <v>1008</v>
      </c>
      <c r="AG323" s="37">
        <f t="shared" ref="AG323" si="426">$I323*T323</f>
        <v>2343.6</v>
      </c>
      <c r="AH323" s="37">
        <f t="shared" ref="AH323" si="427">$I323*U323</f>
        <v>2929.5</v>
      </c>
      <c r="AI323" s="37">
        <f t="shared" ref="AI323" si="428">$I323*V323</f>
        <v>2239.44</v>
      </c>
      <c r="AJ323" s="37">
        <f t="shared" ref="AJ323" si="429">$I323*W323</f>
        <v>2135.2800000000002</v>
      </c>
      <c r="AK323" s="37">
        <f t="shared" ref="AK323" si="430">$I323*X323</f>
        <v>2825.34</v>
      </c>
      <c r="AL323" s="37">
        <f t="shared" ref="AL323" si="431">$I323*Y323</f>
        <v>2239.44</v>
      </c>
      <c r="AM323" s="120">
        <v>1</v>
      </c>
    </row>
    <row r="324" spans="1:39" s="91" customFormat="1" ht="15.6">
      <c r="A324" s="96" t="s">
        <v>336</v>
      </c>
      <c r="B324" s="83" t="s">
        <v>89</v>
      </c>
      <c r="C324" s="88" t="s">
        <v>509</v>
      </c>
      <c r="D324" s="88" t="s">
        <v>1004</v>
      </c>
      <c r="E324" s="85" t="s">
        <v>397</v>
      </c>
      <c r="F324" s="83" t="s">
        <v>29</v>
      </c>
      <c r="G324" s="83" t="s">
        <v>90</v>
      </c>
      <c r="H324" s="89" t="s">
        <v>36</v>
      </c>
      <c r="I324" s="108">
        <v>29.5</v>
      </c>
      <c r="J324" s="88" t="s">
        <v>368</v>
      </c>
      <c r="K324" s="88" t="s">
        <v>396</v>
      </c>
      <c r="L324" s="38" t="s">
        <v>34</v>
      </c>
      <c r="M324" s="90" t="s">
        <v>1</v>
      </c>
      <c r="N324" s="36">
        <v>174.6</v>
      </c>
      <c r="O324" s="36">
        <v>165.87</v>
      </c>
      <c r="P324" s="36">
        <v>200.79</v>
      </c>
      <c r="Q324" s="36">
        <v>174.6</v>
      </c>
      <c r="R324" s="36">
        <v>159.03</v>
      </c>
      <c r="S324" s="84">
        <v>209.25</v>
      </c>
      <c r="T324" s="36">
        <v>167.4</v>
      </c>
      <c r="U324" s="36">
        <v>209.25</v>
      </c>
      <c r="V324" s="36">
        <v>159.03</v>
      </c>
      <c r="W324" s="36">
        <v>150.66</v>
      </c>
      <c r="X324" s="36">
        <v>200.88000000000002</v>
      </c>
      <c r="Y324" s="36">
        <v>159.03</v>
      </c>
      <c r="Z324" s="123"/>
      <c r="AA324" s="37">
        <f t="shared" si="408"/>
        <v>5150.7</v>
      </c>
      <c r="AB324" s="37">
        <f t="shared" si="409"/>
        <v>4893.165</v>
      </c>
      <c r="AC324" s="37">
        <f t="shared" si="410"/>
        <v>5923.3049999999994</v>
      </c>
      <c r="AD324" s="37">
        <f t="shared" si="411"/>
        <v>5150.7</v>
      </c>
      <c r="AE324" s="37">
        <f t="shared" si="412"/>
        <v>4691.3850000000002</v>
      </c>
      <c r="AF324" s="37">
        <f t="shared" si="413"/>
        <v>6172.875</v>
      </c>
      <c r="AG324" s="37">
        <f t="shared" si="414"/>
        <v>4938.3</v>
      </c>
      <c r="AH324" s="37">
        <f t="shared" si="415"/>
        <v>6172.875</v>
      </c>
      <c r="AI324" s="37">
        <f t="shared" si="416"/>
        <v>4691.3850000000002</v>
      </c>
      <c r="AJ324" s="37">
        <f t="shared" si="417"/>
        <v>4444.47</v>
      </c>
      <c r="AK324" s="37">
        <f t="shared" si="418"/>
        <v>5925.9600000000009</v>
      </c>
      <c r="AL324" s="37">
        <f t="shared" si="419"/>
        <v>4691.3850000000002</v>
      </c>
      <c r="AM324" s="120">
        <v>1</v>
      </c>
    </row>
    <row r="325" spans="1:39" s="91" customFormat="1" ht="15.6">
      <c r="A325" s="96" t="s">
        <v>336</v>
      </c>
      <c r="B325" s="83" t="s">
        <v>89</v>
      </c>
      <c r="C325" s="88" t="s">
        <v>1113</v>
      </c>
      <c r="D325" s="88" t="s">
        <v>1114</v>
      </c>
      <c r="E325" s="85" t="s">
        <v>1115</v>
      </c>
      <c r="F325" s="83" t="s">
        <v>29</v>
      </c>
      <c r="G325" s="83" t="s">
        <v>90</v>
      </c>
      <c r="H325" s="89" t="s">
        <v>60</v>
      </c>
      <c r="I325" s="108">
        <v>19</v>
      </c>
      <c r="J325" s="88" t="s">
        <v>368</v>
      </c>
      <c r="K325" s="88" t="s">
        <v>396</v>
      </c>
      <c r="L325" s="38" t="s">
        <v>34</v>
      </c>
      <c r="M325" s="90" t="s">
        <v>1</v>
      </c>
      <c r="N325" s="36"/>
      <c r="O325" s="36"/>
      <c r="P325" s="36"/>
      <c r="Q325" s="36"/>
      <c r="R325" s="36">
        <v>159.03</v>
      </c>
      <c r="S325" s="84">
        <v>209.25</v>
      </c>
      <c r="T325" s="36">
        <v>167.4</v>
      </c>
      <c r="U325" s="36">
        <v>209.25</v>
      </c>
      <c r="V325" s="36">
        <v>159.03</v>
      </c>
      <c r="W325" s="36">
        <v>150.66</v>
      </c>
      <c r="X325" s="36">
        <v>200.88000000000002</v>
      </c>
      <c r="Y325" s="36">
        <v>159.03</v>
      </c>
      <c r="Z325" s="123" t="s">
        <v>1116</v>
      </c>
      <c r="AA325" s="37">
        <f t="shared" ref="AA325" si="432">$I325*N325</f>
        <v>0</v>
      </c>
      <c r="AB325" s="37">
        <f t="shared" ref="AB325" si="433">$I325*O325</f>
        <v>0</v>
      </c>
      <c r="AC325" s="37">
        <f t="shared" ref="AC325" si="434">$I325*P325</f>
        <v>0</v>
      </c>
      <c r="AD325" s="37">
        <f t="shared" ref="AD325" si="435">$I325*Q325</f>
        <v>0</v>
      </c>
      <c r="AE325" s="37">
        <f t="shared" ref="AE325" si="436">$I325*R325</f>
        <v>3021.57</v>
      </c>
      <c r="AF325" s="37">
        <f t="shared" ref="AF325" si="437">$I325*S325</f>
        <v>3975.75</v>
      </c>
      <c r="AG325" s="37">
        <f t="shared" ref="AG325" si="438">$I325*T325</f>
        <v>3180.6</v>
      </c>
      <c r="AH325" s="37">
        <f t="shared" ref="AH325" si="439">$I325*U325</f>
        <v>3975.75</v>
      </c>
      <c r="AI325" s="37">
        <f t="shared" ref="AI325" si="440">$I325*V325</f>
        <v>3021.57</v>
      </c>
      <c r="AJ325" s="37">
        <f t="shared" ref="AJ325" si="441">$I325*W325</f>
        <v>2862.54</v>
      </c>
      <c r="AK325" s="37">
        <f t="shared" ref="AK325" si="442">$I325*X325</f>
        <v>3816.7200000000003</v>
      </c>
      <c r="AL325" s="37">
        <f t="shared" ref="AL325" si="443">$I325*Y325</f>
        <v>3021.57</v>
      </c>
      <c r="AM325" s="120">
        <v>1</v>
      </c>
    </row>
    <row r="326" spans="1:39" s="91" customFormat="1" ht="15.6">
      <c r="A326" s="96" t="s">
        <v>336</v>
      </c>
      <c r="B326" s="83" t="s">
        <v>89</v>
      </c>
      <c r="C326" s="88" t="s">
        <v>510</v>
      </c>
      <c r="D326" s="88" t="s">
        <v>1005</v>
      </c>
      <c r="E326" s="88" t="s">
        <v>398</v>
      </c>
      <c r="F326" s="83" t="s">
        <v>29</v>
      </c>
      <c r="G326" s="83" t="s">
        <v>90</v>
      </c>
      <c r="H326" s="89" t="s">
        <v>31</v>
      </c>
      <c r="I326" s="108">
        <v>30.5</v>
      </c>
      <c r="J326" s="88" t="s">
        <v>368</v>
      </c>
      <c r="K326" s="125" t="s">
        <v>372</v>
      </c>
      <c r="L326" s="38" t="s">
        <v>34</v>
      </c>
      <c r="M326" s="90" t="s">
        <v>1</v>
      </c>
      <c r="N326" s="36">
        <v>174.6</v>
      </c>
      <c r="O326" s="36">
        <v>165.87</v>
      </c>
      <c r="P326" s="36">
        <v>200.79</v>
      </c>
      <c r="Q326" s="36">
        <v>174.6</v>
      </c>
      <c r="R326" s="36">
        <v>159.03</v>
      </c>
      <c r="S326" s="84">
        <v>209.25</v>
      </c>
      <c r="T326" s="36">
        <v>167.4</v>
      </c>
      <c r="U326" s="36">
        <v>209.25</v>
      </c>
      <c r="V326" s="36">
        <v>159.03</v>
      </c>
      <c r="W326" s="36">
        <v>150.66</v>
      </c>
      <c r="X326" s="36">
        <v>200.88000000000002</v>
      </c>
      <c r="Y326" s="36">
        <v>159.03</v>
      </c>
      <c r="Z326" s="123"/>
      <c r="AA326" s="37">
        <f t="shared" si="408"/>
        <v>5325.3</v>
      </c>
      <c r="AB326" s="37">
        <f t="shared" si="409"/>
        <v>5059.0349999999999</v>
      </c>
      <c r="AC326" s="37">
        <f t="shared" si="410"/>
        <v>6124.0949999999993</v>
      </c>
      <c r="AD326" s="37">
        <f t="shared" si="411"/>
        <v>5325.3</v>
      </c>
      <c r="AE326" s="37">
        <f t="shared" si="412"/>
        <v>4850.415</v>
      </c>
      <c r="AF326" s="37">
        <f t="shared" si="413"/>
        <v>6382.125</v>
      </c>
      <c r="AG326" s="37">
        <f t="shared" si="414"/>
        <v>5105.7</v>
      </c>
      <c r="AH326" s="37">
        <f t="shared" si="415"/>
        <v>6382.125</v>
      </c>
      <c r="AI326" s="37">
        <f t="shared" si="416"/>
        <v>4850.415</v>
      </c>
      <c r="AJ326" s="37">
        <f t="shared" si="417"/>
        <v>4595.13</v>
      </c>
      <c r="AK326" s="37">
        <f t="shared" si="418"/>
        <v>6126.8400000000011</v>
      </c>
      <c r="AL326" s="37">
        <f t="shared" si="419"/>
        <v>4850.415</v>
      </c>
      <c r="AM326" s="120">
        <v>1</v>
      </c>
    </row>
    <row r="327" spans="1:39" s="91" customFormat="1" ht="15.6">
      <c r="A327" s="96" t="s">
        <v>336</v>
      </c>
      <c r="B327" s="83" t="s">
        <v>89</v>
      </c>
      <c r="C327" s="88" t="s">
        <v>511</v>
      </c>
      <c r="D327" s="88" t="s">
        <v>1006</v>
      </c>
      <c r="E327" s="85" t="s">
        <v>399</v>
      </c>
      <c r="F327" s="83" t="s">
        <v>29</v>
      </c>
      <c r="G327" s="83" t="s">
        <v>350</v>
      </c>
      <c r="H327" s="89" t="s">
        <v>44</v>
      </c>
      <c r="I327" s="108">
        <v>17</v>
      </c>
      <c r="J327" s="96" t="s">
        <v>368</v>
      </c>
      <c r="K327" s="125" t="s">
        <v>372</v>
      </c>
      <c r="L327" s="88" t="s">
        <v>34</v>
      </c>
      <c r="M327" s="90" t="s">
        <v>3</v>
      </c>
      <c r="N327" s="84">
        <v>166.84</v>
      </c>
      <c r="O327" s="84">
        <v>166.84</v>
      </c>
      <c r="P327" s="84">
        <v>210.48999999999998</v>
      </c>
      <c r="Q327" s="84">
        <v>166.84</v>
      </c>
      <c r="R327" s="36">
        <v>159.96</v>
      </c>
      <c r="S327" s="84">
        <v>209.25</v>
      </c>
      <c r="T327" s="84">
        <v>167.4</v>
      </c>
      <c r="U327" s="84">
        <v>209.25</v>
      </c>
      <c r="V327" s="84">
        <v>159.96</v>
      </c>
      <c r="W327" s="84">
        <v>152.52000000000001</v>
      </c>
      <c r="X327" s="84">
        <v>201.81</v>
      </c>
      <c r="Y327" s="84">
        <v>159.96</v>
      </c>
      <c r="Z327" s="127"/>
      <c r="AA327" s="37">
        <f t="shared" si="408"/>
        <v>2836.28</v>
      </c>
      <c r="AB327" s="37">
        <f t="shared" si="409"/>
        <v>2836.28</v>
      </c>
      <c r="AC327" s="37">
        <f t="shared" si="410"/>
        <v>3578.3299999999995</v>
      </c>
      <c r="AD327" s="37">
        <f t="shared" si="411"/>
        <v>2836.28</v>
      </c>
      <c r="AE327" s="37">
        <f t="shared" si="412"/>
        <v>2719.32</v>
      </c>
      <c r="AF327" s="37">
        <f t="shared" si="413"/>
        <v>3557.25</v>
      </c>
      <c r="AG327" s="37">
        <f t="shared" si="414"/>
        <v>2845.8</v>
      </c>
      <c r="AH327" s="37">
        <f t="shared" si="415"/>
        <v>3557.25</v>
      </c>
      <c r="AI327" s="37">
        <f t="shared" si="416"/>
        <v>2719.32</v>
      </c>
      <c r="AJ327" s="37">
        <f t="shared" si="417"/>
        <v>2592.84</v>
      </c>
      <c r="AK327" s="37">
        <f t="shared" si="418"/>
        <v>3430.77</v>
      </c>
      <c r="AL327" s="37">
        <f t="shared" si="419"/>
        <v>2719.32</v>
      </c>
      <c r="AM327" s="120">
        <v>1</v>
      </c>
    </row>
    <row r="328" spans="1:39" s="91" customFormat="1" ht="15.6">
      <c r="A328" s="96" t="s">
        <v>336</v>
      </c>
      <c r="B328" s="83" t="s">
        <v>89</v>
      </c>
      <c r="C328" s="88" t="s">
        <v>512</v>
      </c>
      <c r="D328" s="88" t="s">
        <v>1007</v>
      </c>
      <c r="E328" s="85" t="s">
        <v>400</v>
      </c>
      <c r="F328" s="83" t="s">
        <v>29</v>
      </c>
      <c r="G328" s="83" t="s">
        <v>350</v>
      </c>
      <c r="H328" s="89" t="s">
        <v>60</v>
      </c>
      <c r="I328" s="108">
        <v>19</v>
      </c>
      <c r="J328" s="96" t="s">
        <v>368</v>
      </c>
      <c r="K328" s="125" t="s">
        <v>372</v>
      </c>
      <c r="L328" s="38" t="s">
        <v>34</v>
      </c>
      <c r="M328" s="90" t="s">
        <v>1</v>
      </c>
      <c r="N328" s="84">
        <v>165.87</v>
      </c>
      <c r="O328" s="84">
        <v>165.87</v>
      </c>
      <c r="P328" s="84">
        <v>209.51999999999998</v>
      </c>
      <c r="Q328" s="84">
        <v>174.6</v>
      </c>
      <c r="R328" s="84">
        <v>159.03</v>
      </c>
      <c r="S328" s="84">
        <v>209.25</v>
      </c>
      <c r="T328" s="84">
        <v>167.4</v>
      </c>
      <c r="U328" s="84">
        <v>209.25</v>
      </c>
      <c r="V328" s="84">
        <v>159.03</v>
      </c>
      <c r="W328" s="84">
        <v>150.66</v>
      </c>
      <c r="X328" s="84">
        <v>209.25</v>
      </c>
      <c r="Y328" s="84">
        <v>159.03</v>
      </c>
      <c r="Z328" s="127"/>
      <c r="AA328" s="37">
        <f t="shared" si="408"/>
        <v>3151.53</v>
      </c>
      <c r="AB328" s="37">
        <f t="shared" si="409"/>
        <v>3151.53</v>
      </c>
      <c r="AC328" s="37">
        <f t="shared" si="410"/>
        <v>3980.8799999999997</v>
      </c>
      <c r="AD328" s="37">
        <f t="shared" si="411"/>
        <v>3317.4</v>
      </c>
      <c r="AE328" s="37">
        <f t="shared" si="412"/>
        <v>3021.57</v>
      </c>
      <c r="AF328" s="37">
        <f t="shared" si="413"/>
        <v>3975.75</v>
      </c>
      <c r="AG328" s="37">
        <f t="shared" si="414"/>
        <v>3180.6</v>
      </c>
      <c r="AH328" s="37">
        <f t="shared" si="415"/>
        <v>3975.75</v>
      </c>
      <c r="AI328" s="37">
        <f t="shared" si="416"/>
        <v>3021.57</v>
      </c>
      <c r="AJ328" s="37">
        <f t="shared" si="417"/>
        <v>2862.54</v>
      </c>
      <c r="AK328" s="37">
        <f t="shared" si="418"/>
        <v>3975.75</v>
      </c>
      <c r="AL328" s="37">
        <f t="shared" si="419"/>
        <v>3021.57</v>
      </c>
      <c r="AM328" s="120">
        <v>1</v>
      </c>
    </row>
    <row r="329" spans="1:39" s="91" customFormat="1" ht="15.6">
      <c r="A329" s="96" t="s">
        <v>336</v>
      </c>
      <c r="B329" s="83" t="s">
        <v>89</v>
      </c>
      <c r="C329" s="88" t="s">
        <v>486</v>
      </c>
      <c r="D329" s="88" t="s">
        <v>1008</v>
      </c>
      <c r="E329" s="88" t="s">
        <v>352</v>
      </c>
      <c r="F329" s="83" t="s">
        <v>29</v>
      </c>
      <c r="G329" s="83" t="s">
        <v>90</v>
      </c>
      <c r="H329" s="89">
        <v>4</v>
      </c>
      <c r="I329" s="108">
        <v>9</v>
      </c>
      <c r="J329" s="96" t="s">
        <v>368</v>
      </c>
      <c r="K329" s="125" t="s">
        <v>372</v>
      </c>
      <c r="L329" s="88" t="s">
        <v>34</v>
      </c>
      <c r="M329" s="90" t="s">
        <v>3</v>
      </c>
      <c r="N329" s="84">
        <v>166.84</v>
      </c>
      <c r="O329" s="84">
        <v>166.84</v>
      </c>
      <c r="P329" s="84">
        <v>210.48999999999998</v>
      </c>
      <c r="Q329" s="84">
        <v>166.84</v>
      </c>
      <c r="R329" s="36">
        <v>159.96</v>
      </c>
      <c r="S329" s="84">
        <v>209.25</v>
      </c>
      <c r="T329" s="84">
        <v>167.4</v>
      </c>
      <c r="U329" s="84">
        <v>209.25</v>
      </c>
      <c r="V329" s="84">
        <v>159.96</v>
      </c>
      <c r="W329" s="84">
        <v>152.52000000000001</v>
      </c>
      <c r="X329" s="84">
        <v>201.81</v>
      </c>
      <c r="Y329" s="84">
        <v>159.96</v>
      </c>
      <c r="Z329" s="127"/>
      <c r="AA329" s="37">
        <f t="shared" si="408"/>
        <v>1501.56</v>
      </c>
      <c r="AB329" s="37">
        <f t="shared" si="409"/>
        <v>1501.56</v>
      </c>
      <c r="AC329" s="37">
        <f t="shared" si="410"/>
        <v>1894.4099999999999</v>
      </c>
      <c r="AD329" s="37">
        <f t="shared" si="411"/>
        <v>1501.56</v>
      </c>
      <c r="AE329" s="37">
        <f t="shared" si="412"/>
        <v>1439.64</v>
      </c>
      <c r="AF329" s="37">
        <f t="shared" si="413"/>
        <v>1883.25</v>
      </c>
      <c r="AG329" s="37">
        <f t="shared" si="414"/>
        <v>1506.6000000000001</v>
      </c>
      <c r="AH329" s="37">
        <f t="shared" si="415"/>
        <v>1883.25</v>
      </c>
      <c r="AI329" s="37">
        <f t="shared" si="416"/>
        <v>1439.64</v>
      </c>
      <c r="AJ329" s="37">
        <f t="shared" si="417"/>
        <v>1372.68</v>
      </c>
      <c r="AK329" s="37">
        <f t="shared" si="418"/>
        <v>1816.29</v>
      </c>
      <c r="AL329" s="37">
        <f t="shared" si="419"/>
        <v>1439.64</v>
      </c>
      <c r="AM329" s="120">
        <v>1</v>
      </c>
    </row>
    <row r="330" spans="1:39" s="91" customFormat="1" ht="15.6">
      <c r="A330" s="96" t="s">
        <v>336</v>
      </c>
      <c r="B330" s="83" t="s">
        <v>89</v>
      </c>
      <c r="C330" s="88" t="s">
        <v>583</v>
      </c>
      <c r="D330" s="88" t="s">
        <v>1009</v>
      </c>
      <c r="E330" s="128" t="s">
        <v>582</v>
      </c>
      <c r="F330" s="83" t="s">
        <v>29</v>
      </c>
      <c r="G330" s="83" t="s">
        <v>120</v>
      </c>
      <c r="H330" s="89">
        <v>4</v>
      </c>
      <c r="I330" s="108">
        <v>9</v>
      </c>
      <c r="J330" s="96" t="s">
        <v>368</v>
      </c>
      <c r="K330" s="125" t="s">
        <v>372</v>
      </c>
      <c r="L330" s="88" t="s">
        <v>34</v>
      </c>
      <c r="M330" s="90" t="s">
        <v>3</v>
      </c>
      <c r="N330" s="84">
        <v>166.84</v>
      </c>
      <c r="O330" s="84">
        <v>166.84</v>
      </c>
      <c r="P330" s="36">
        <f>9*8</f>
        <v>72</v>
      </c>
      <c r="Q330" s="84"/>
      <c r="R330" s="36"/>
      <c r="S330" s="36"/>
      <c r="T330" s="36"/>
      <c r="U330" s="36"/>
      <c r="V330" s="36"/>
      <c r="W330" s="36"/>
      <c r="X330" s="36"/>
      <c r="Y330" s="36"/>
      <c r="Z330" s="127"/>
      <c r="AA330" s="37">
        <f t="shared" si="408"/>
        <v>1501.56</v>
      </c>
      <c r="AB330" s="37">
        <f t="shared" si="409"/>
        <v>1501.56</v>
      </c>
      <c r="AC330" s="37">
        <f t="shared" si="410"/>
        <v>648</v>
      </c>
      <c r="AD330" s="37">
        <f t="shared" si="411"/>
        <v>0</v>
      </c>
      <c r="AE330" s="37">
        <f t="shared" si="412"/>
        <v>0</v>
      </c>
      <c r="AF330" s="37">
        <f t="shared" si="413"/>
        <v>0</v>
      </c>
      <c r="AG330" s="37">
        <f t="shared" si="414"/>
        <v>0</v>
      </c>
      <c r="AH330" s="37">
        <f t="shared" si="415"/>
        <v>0</v>
      </c>
      <c r="AI330" s="37">
        <f t="shared" si="416"/>
        <v>0</v>
      </c>
      <c r="AJ330" s="37">
        <f t="shared" si="417"/>
        <v>0</v>
      </c>
      <c r="AK330" s="37">
        <f t="shared" si="418"/>
        <v>0</v>
      </c>
      <c r="AL330" s="37">
        <f t="shared" si="419"/>
        <v>0</v>
      </c>
      <c r="AM330" s="120">
        <v>0</v>
      </c>
    </row>
    <row r="331" spans="1:39" s="91" customFormat="1" ht="15.6">
      <c r="A331" s="96" t="s">
        <v>336</v>
      </c>
      <c r="B331" s="83" t="s">
        <v>89</v>
      </c>
      <c r="C331" s="88" t="s">
        <v>1058</v>
      </c>
      <c r="D331" s="88" t="s">
        <v>1057</v>
      </c>
      <c r="E331" s="85" t="s">
        <v>1056</v>
      </c>
      <c r="F331" s="83" t="s">
        <v>29</v>
      </c>
      <c r="G331" s="83" t="s">
        <v>35</v>
      </c>
      <c r="H331" s="89" t="s">
        <v>44</v>
      </c>
      <c r="I331" s="108">
        <v>14</v>
      </c>
      <c r="J331" s="96" t="s">
        <v>368</v>
      </c>
      <c r="K331" s="125" t="s">
        <v>372</v>
      </c>
      <c r="L331" s="38" t="s">
        <v>34</v>
      </c>
      <c r="M331" s="90" t="s">
        <v>1</v>
      </c>
      <c r="N331" s="36"/>
      <c r="O331" s="36"/>
      <c r="P331" s="36">
        <v>200.79</v>
      </c>
      <c r="Q331" s="36">
        <v>174.6</v>
      </c>
      <c r="R331" s="36">
        <v>159.03</v>
      </c>
      <c r="S331" s="84">
        <v>209.25</v>
      </c>
      <c r="T331" s="36">
        <v>167.4</v>
      </c>
      <c r="U331" s="36">
        <v>209.25</v>
      </c>
      <c r="V331" s="36">
        <v>159.03</v>
      </c>
      <c r="W331" s="36">
        <v>150.66</v>
      </c>
      <c r="X331" s="36">
        <v>200.88000000000002</v>
      </c>
      <c r="Y331" s="36">
        <v>159.03</v>
      </c>
      <c r="Z331" s="127" t="s">
        <v>1059</v>
      </c>
      <c r="AA331" s="37">
        <f t="shared" si="408"/>
        <v>0</v>
      </c>
      <c r="AB331" s="37">
        <f t="shared" si="409"/>
        <v>0</v>
      </c>
      <c r="AC331" s="37">
        <f t="shared" si="410"/>
        <v>2811.06</v>
      </c>
      <c r="AD331" s="37">
        <f t="shared" si="411"/>
        <v>2444.4</v>
      </c>
      <c r="AE331" s="37">
        <f t="shared" si="412"/>
        <v>2226.42</v>
      </c>
      <c r="AF331" s="37">
        <f t="shared" si="413"/>
        <v>2929.5</v>
      </c>
      <c r="AG331" s="37">
        <f t="shared" si="414"/>
        <v>2343.6</v>
      </c>
      <c r="AH331" s="37">
        <f t="shared" si="415"/>
        <v>2929.5</v>
      </c>
      <c r="AI331" s="37">
        <f t="shared" si="416"/>
        <v>2226.42</v>
      </c>
      <c r="AJ331" s="37">
        <f t="shared" si="417"/>
        <v>2109.2399999999998</v>
      </c>
      <c r="AK331" s="37">
        <f t="shared" si="418"/>
        <v>2812.32</v>
      </c>
      <c r="AL331" s="37">
        <f t="shared" si="419"/>
        <v>2226.42</v>
      </c>
      <c r="AM331" s="120">
        <v>1</v>
      </c>
    </row>
    <row r="332" spans="1:39" s="91" customFormat="1" ht="15.6">
      <c r="A332" s="96" t="s">
        <v>336</v>
      </c>
      <c r="B332" s="83" t="s">
        <v>89</v>
      </c>
      <c r="C332" s="88" t="s">
        <v>513</v>
      </c>
      <c r="D332" s="88" t="s">
        <v>1010</v>
      </c>
      <c r="E332" s="88" t="s">
        <v>401</v>
      </c>
      <c r="F332" s="83" t="s">
        <v>29</v>
      </c>
      <c r="G332" s="83" t="s">
        <v>35</v>
      </c>
      <c r="H332" s="89" t="s">
        <v>36</v>
      </c>
      <c r="I332" s="108">
        <v>29.5</v>
      </c>
      <c r="J332" s="96" t="s">
        <v>368</v>
      </c>
      <c r="K332" s="125" t="s">
        <v>717</v>
      </c>
      <c r="L332" s="38" t="s">
        <v>34</v>
      </c>
      <c r="M332" s="90" t="s">
        <v>1</v>
      </c>
      <c r="N332" s="36">
        <v>174.6</v>
      </c>
      <c r="O332" s="36">
        <v>165.87</v>
      </c>
      <c r="P332" s="36">
        <v>200.79</v>
      </c>
      <c r="Q332" s="36">
        <v>174.6</v>
      </c>
      <c r="R332" s="36">
        <v>159.03</v>
      </c>
      <c r="S332" s="84">
        <v>209.25</v>
      </c>
      <c r="T332" s="36">
        <v>167.4</v>
      </c>
      <c r="U332" s="36">
        <v>209.25</v>
      </c>
      <c r="V332" s="36">
        <v>159.03</v>
      </c>
      <c r="W332" s="36">
        <v>150.66</v>
      </c>
      <c r="X332" s="36">
        <v>200.88000000000002</v>
      </c>
      <c r="Y332" s="36">
        <v>159.03</v>
      </c>
      <c r="Z332" s="127"/>
      <c r="AA332" s="37">
        <f t="shared" si="408"/>
        <v>5150.7</v>
      </c>
      <c r="AB332" s="37">
        <f t="shared" si="409"/>
        <v>4893.165</v>
      </c>
      <c r="AC332" s="37">
        <f t="shared" si="410"/>
        <v>5923.3049999999994</v>
      </c>
      <c r="AD332" s="37">
        <f t="shared" si="411"/>
        <v>5150.7</v>
      </c>
      <c r="AE332" s="37">
        <f t="shared" si="412"/>
        <v>4691.3850000000002</v>
      </c>
      <c r="AF332" s="37">
        <f t="shared" si="413"/>
        <v>6172.875</v>
      </c>
      <c r="AG332" s="37">
        <f t="shared" si="414"/>
        <v>4938.3</v>
      </c>
      <c r="AH332" s="37">
        <f t="shared" si="415"/>
        <v>6172.875</v>
      </c>
      <c r="AI332" s="37">
        <f t="shared" si="416"/>
        <v>4691.3850000000002</v>
      </c>
      <c r="AJ332" s="37">
        <f t="shared" si="417"/>
        <v>4444.47</v>
      </c>
      <c r="AK332" s="37">
        <f t="shared" si="418"/>
        <v>5925.9600000000009</v>
      </c>
      <c r="AL332" s="37">
        <f t="shared" si="419"/>
        <v>4691.3850000000002</v>
      </c>
      <c r="AM332" s="120">
        <v>1</v>
      </c>
    </row>
    <row r="333" spans="1:39" s="91" customFormat="1" ht="15.6">
      <c r="A333" s="96" t="s">
        <v>336</v>
      </c>
      <c r="B333" s="83" t="s">
        <v>89</v>
      </c>
      <c r="C333" s="88" t="s">
        <v>514</v>
      </c>
      <c r="D333" s="88" t="s">
        <v>1011</v>
      </c>
      <c r="E333" s="88" t="s">
        <v>402</v>
      </c>
      <c r="F333" s="83" t="s">
        <v>29</v>
      </c>
      <c r="G333" s="83" t="s">
        <v>387</v>
      </c>
      <c r="H333" s="89" t="s">
        <v>60</v>
      </c>
      <c r="I333" s="108">
        <v>19</v>
      </c>
      <c r="J333" s="96" t="s">
        <v>368</v>
      </c>
      <c r="K333" s="125" t="s">
        <v>717</v>
      </c>
      <c r="L333" s="38" t="s">
        <v>34</v>
      </c>
      <c r="M333" s="90" t="s">
        <v>1</v>
      </c>
      <c r="N333" s="84">
        <v>165.87</v>
      </c>
      <c r="O333" s="84">
        <v>165.87</v>
      </c>
      <c r="P333" s="84">
        <v>209.51999999999998</v>
      </c>
      <c r="Q333" s="84">
        <v>174.6</v>
      </c>
      <c r="R333" s="84">
        <v>159.03</v>
      </c>
      <c r="S333" s="84">
        <v>209.25</v>
      </c>
      <c r="T333" s="84">
        <v>167.4</v>
      </c>
      <c r="U333" s="84">
        <v>209.25</v>
      </c>
      <c r="V333" s="84">
        <v>159.03</v>
      </c>
      <c r="W333" s="84">
        <v>150.66</v>
      </c>
      <c r="X333" s="84">
        <v>209.25</v>
      </c>
      <c r="Y333" s="84">
        <v>159.03</v>
      </c>
      <c r="Z333" s="123"/>
      <c r="AA333" s="37">
        <f t="shared" si="408"/>
        <v>3151.53</v>
      </c>
      <c r="AB333" s="37">
        <f t="shared" si="409"/>
        <v>3151.53</v>
      </c>
      <c r="AC333" s="37">
        <f t="shared" si="410"/>
        <v>3980.8799999999997</v>
      </c>
      <c r="AD333" s="37">
        <f t="shared" si="411"/>
        <v>3317.4</v>
      </c>
      <c r="AE333" s="37">
        <f t="shared" si="412"/>
        <v>3021.57</v>
      </c>
      <c r="AF333" s="37">
        <f t="shared" si="413"/>
        <v>3975.75</v>
      </c>
      <c r="AG333" s="37">
        <f t="shared" si="414"/>
        <v>3180.6</v>
      </c>
      <c r="AH333" s="37">
        <f t="shared" si="415"/>
        <v>3975.75</v>
      </c>
      <c r="AI333" s="37">
        <f t="shared" si="416"/>
        <v>3021.57</v>
      </c>
      <c r="AJ333" s="37">
        <f t="shared" si="417"/>
        <v>2862.54</v>
      </c>
      <c r="AK333" s="37">
        <f t="shared" si="418"/>
        <v>3975.75</v>
      </c>
      <c r="AL333" s="37">
        <f t="shared" si="419"/>
        <v>3021.57</v>
      </c>
      <c r="AM333" s="120">
        <v>1</v>
      </c>
    </row>
    <row r="334" spans="1:39" s="91" customFormat="1" ht="15.6">
      <c r="A334" s="96" t="s">
        <v>336</v>
      </c>
      <c r="B334" s="83" t="s">
        <v>89</v>
      </c>
      <c r="C334" s="88" t="s">
        <v>759</v>
      </c>
      <c r="D334" s="88" t="s">
        <v>786</v>
      </c>
      <c r="E334" s="88" t="s">
        <v>760</v>
      </c>
      <c r="F334" s="83" t="s">
        <v>29</v>
      </c>
      <c r="G334" s="83" t="s">
        <v>90</v>
      </c>
      <c r="H334" s="89" t="s">
        <v>101</v>
      </c>
      <c r="I334" s="108">
        <v>14</v>
      </c>
      <c r="J334" s="96" t="s">
        <v>368</v>
      </c>
      <c r="K334" s="125" t="s">
        <v>717</v>
      </c>
      <c r="L334" s="38" t="s">
        <v>34</v>
      </c>
      <c r="M334" s="90" t="s">
        <v>1</v>
      </c>
      <c r="N334" s="36"/>
      <c r="O334" s="36">
        <f>165.87-45</f>
        <v>120.87</v>
      </c>
      <c r="P334" s="36">
        <v>200.79</v>
      </c>
      <c r="Q334" s="36">
        <v>174.6</v>
      </c>
      <c r="R334" s="36">
        <v>159.03</v>
      </c>
      <c r="S334" s="84">
        <v>209.25</v>
      </c>
      <c r="T334" s="36">
        <v>167.4</v>
      </c>
      <c r="U334" s="36">
        <v>209.25</v>
      </c>
      <c r="V334" s="36">
        <v>159.03</v>
      </c>
      <c r="W334" s="36">
        <v>150.66</v>
      </c>
      <c r="X334" s="36">
        <v>200.88000000000002</v>
      </c>
      <c r="Y334" s="36">
        <v>159.03</v>
      </c>
      <c r="Z334" s="123" t="s">
        <v>718</v>
      </c>
      <c r="AA334" s="37">
        <f t="shared" si="408"/>
        <v>0</v>
      </c>
      <c r="AB334" s="37">
        <f t="shared" si="409"/>
        <v>1692.18</v>
      </c>
      <c r="AC334" s="37">
        <f t="shared" si="410"/>
        <v>2811.06</v>
      </c>
      <c r="AD334" s="37">
        <f t="shared" si="411"/>
        <v>2444.4</v>
      </c>
      <c r="AE334" s="37">
        <f t="shared" si="412"/>
        <v>2226.42</v>
      </c>
      <c r="AF334" s="37">
        <f t="shared" si="413"/>
        <v>2929.5</v>
      </c>
      <c r="AG334" s="37">
        <f t="shared" si="414"/>
        <v>2343.6</v>
      </c>
      <c r="AH334" s="37">
        <f t="shared" si="415"/>
        <v>2929.5</v>
      </c>
      <c r="AI334" s="37">
        <f t="shared" si="416"/>
        <v>2226.42</v>
      </c>
      <c r="AJ334" s="37">
        <f t="shared" si="417"/>
        <v>2109.2399999999998</v>
      </c>
      <c r="AK334" s="37">
        <f t="shared" si="418"/>
        <v>2812.32</v>
      </c>
      <c r="AL334" s="37">
        <f t="shared" si="419"/>
        <v>2226.42</v>
      </c>
      <c r="AM334" s="120">
        <v>1</v>
      </c>
    </row>
    <row r="335" spans="1:39" s="91" customFormat="1" ht="15.6">
      <c r="A335" s="96" t="s">
        <v>336</v>
      </c>
      <c r="B335" s="83" t="s">
        <v>89</v>
      </c>
      <c r="C335" s="88" t="s">
        <v>515</v>
      </c>
      <c r="D335" s="88" t="s">
        <v>1012</v>
      </c>
      <c r="E335" s="85" t="s">
        <v>403</v>
      </c>
      <c r="F335" s="83" t="s">
        <v>29</v>
      </c>
      <c r="G335" s="83" t="s">
        <v>90</v>
      </c>
      <c r="H335" s="89" t="s">
        <v>31</v>
      </c>
      <c r="I335" s="108">
        <v>30.5</v>
      </c>
      <c r="J335" s="96" t="s">
        <v>368</v>
      </c>
      <c r="K335" s="88" t="s">
        <v>404</v>
      </c>
      <c r="L335" s="38" t="s">
        <v>34</v>
      </c>
      <c r="M335" s="90" t="s">
        <v>1</v>
      </c>
      <c r="N335" s="36">
        <v>174.6</v>
      </c>
      <c r="O335" s="36">
        <v>165.87</v>
      </c>
      <c r="P335" s="36">
        <v>200.79</v>
      </c>
      <c r="Q335" s="36">
        <v>174.6</v>
      </c>
      <c r="R335" s="36">
        <v>159.03</v>
      </c>
      <c r="S335" s="84">
        <v>209.25</v>
      </c>
      <c r="T335" s="36">
        <v>167.4</v>
      </c>
      <c r="U335" s="36">
        <v>209.25</v>
      </c>
      <c r="V335" s="36">
        <v>159.03</v>
      </c>
      <c r="W335" s="36">
        <v>150.66</v>
      </c>
      <c r="X335" s="36">
        <v>200.88000000000002</v>
      </c>
      <c r="Y335" s="36">
        <v>159.03</v>
      </c>
      <c r="Z335" s="123"/>
      <c r="AA335" s="37">
        <f t="shared" si="408"/>
        <v>5325.3</v>
      </c>
      <c r="AB335" s="37">
        <f t="shared" si="409"/>
        <v>5059.0349999999999</v>
      </c>
      <c r="AC335" s="37">
        <f t="shared" si="410"/>
        <v>6124.0949999999993</v>
      </c>
      <c r="AD335" s="37">
        <f t="shared" si="411"/>
        <v>5325.3</v>
      </c>
      <c r="AE335" s="37">
        <f t="shared" si="412"/>
        <v>4850.415</v>
      </c>
      <c r="AF335" s="37">
        <f t="shared" si="413"/>
        <v>6382.125</v>
      </c>
      <c r="AG335" s="37">
        <f t="shared" si="414"/>
        <v>5105.7</v>
      </c>
      <c r="AH335" s="37">
        <f t="shared" si="415"/>
        <v>6382.125</v>
      </c>
      <c r="AI335" s="37">
        <f t="shared" si="416"/>
        <v>4850.415</v>
      </c>
      <c r="AJ335" s="37">
        <f t="shared" si="417"/>
        <v>4595.13</v>
      </c>
      <c r="AK335" s="37">
        <f t="shared" si="418"/>
        <v>6126.8400000000011</v>
      </c>
      <c r="AL335" s="37">
        <f t="shared" si="419"/>
        <v>4850.415</v>
      </c>
      <c r="AM335" s="120">
        <v>1</v>
      </c>
    </row>
    <row r="336" spans="1:39" s="91" customFormat="1" ht="15.6">
      <c r="A336" s="96" t="s">
        <v>336</v>
      </c>
      <c r="B336" s="83" t="s">
        <v>89</v>
      </c>
      <c r="C336" s="88" t="s">
        <v>516</v>
      </c>
      <c r="D336" s="88" t="s">
        <v>1013</v>
      </c>
      <c r="E336" s="88" t="s">
        <v>405</v>
      </c>
      <c r="F336" s="83" t="s">
        <v>29</v>
      </c>
      <c r="G336" s="83" t="s">
        <v>355</v>
      </c>
      <c r="H336" s="89" t="s">
        <v>60</v>
      </c>
      <c r="I336" s="108">
        <v>19</v>
      </c>
      <c r="J336" s="88" t="s">
        <v>368</v>
      </c>
      <c r="K336" s="88" t="s">
        <v>404</v>
      </c>
      <c r="L336" s="38" t="s">
        <v>34</v>
      </c>
      <c r="M336" s="90" t="s">
        <v>1</v>
      </c>
      <c r="N336" s="84">
        <v>165.87</v>
      </c>
      <c r="O336" s="84">
        <v>165.87</v>
      </c>
      <c r="P336" s="84">
        <v>209.51999999999998</v>
      </c>
      <c r="Q336" s="84">
        <v>165.87</v>
      </c>
      <c r="R336" s="84">
        <f>171-18</f>
        <v>153</v>
      </c>
      <c r="S336" s="84">
        <v>209.25</v>
      </c>
      <c r="T336" s="84">
        <v>167.4</v>
      </c>
      <c r="U336" s="84">
        <v>209.25</v>
      </c>
      <c r="V336" s="84">
        <v>159.03</v>
      </c>
      <c r="W336" s="84">
        <v>150.66</v>
      </c>
      <c r="X336" s="84">
        <v>209.25</v>
      </c>
      <c r="Y336" s="84">
        <v>159.03</v>
      </c>
      <c r="Z336" s="123"/>
      <c r="AA336" s="37">
        <f t="shared" si="408"/>
        <v>3151.53</v>
      </c>
      <c r="AB336" s="37">
        <f t="shared" si="409"/>
        <v>3151.53</v>
      </c>
      <c r="AC336" s="37">
        <f t="shared" si="410"/>
        <v>3980.8799999999997</v>
      </c>
      <c r="AD336" s="37">
        <f t="shared" si="411"/>
        <v>3151.53</v>
      </c>
      <c r="AE336" s="37">
        <f t="shared" si="412"/>
        <v>2907</v>
      </c>
      <c r="AF336" s="37">
        <f t="shared" si="413"/>
        <v>3975.75</v>
      </c>
      <c r="AG336" s="37">
        <f t="shared" si="414"/>
        <v>3180.6</v>
      </c>
      <c r="AH336" s="37">
        <f t="shared" si="415"/>
        <v>3975.75</v>
      </c>
      <c r="AI336" s="37">
        <f t="shared" si="416"/>
        <v>3021.57</v>
      </c>
      <c r="AJ336" s="37">
        <f t="shared" si="417"/>
        <v>2862.54</v>
      </c>
      <c r="AK336" s="37">
        <f t="shared" si="418"/>
        <v>3975.75</v>
      </c>
      <c r="AL336" s="37">
        <f t="shared" si="419"/>
        <v>3021.57</v>
      </c>
      <c r="AM336" s="120">
        <v>1</v>
      </c>
    </row>
    <row r="337" spans="1:39" s="91" customFormat="1" ht="15.6">
      <c r="A337" s="96" t="s">
        <v>336</v>
      </c>
      <c r="B337" s="83" t="s">
        <v>89</v>
      </c>
      <c r="C337" s="88" t="s">
        <v>517</v>
      </c>
      <c r="D337" s="88" t="s">
        <v>1014</v>
      </c>
      <c r="E337" s="88" t="s">
        <v>406</v>
      </c>
      <c r="F337" s="83" t="s">
        <v>29</v>
      </c>
      <c r="G337" s="83" t="s">
        <v>350</v>
      </c>
      <c r="H337" s="89" t="s">
        <v>60</v>
      </c>
      <c r="I337" s="108">
        <v>22.5</v>
      </c>
      <c r="J337" s="88" t="s">
        <v>368</v>
      </c>
      <c r="K337" s="88" t="s">
        <v>407</v>
      </c>
      <c r="L337" s="88" t="s">
        <v>34</v>
      </c>
      <c r="M337" s="90" t="s">
        <v>3</v>
      </c>
      <c r="N337" s="84">
        <v>166.84</v>
      </c>
      <c r="O337" s="84">
        <v>166.84</v>
      </c>
      <c r="P337" s="84">
        <v>210.48999999999998</v>
      </c>
      <c r="Q337" s="84">
        <v>166.84</v>
      </c>
      <c r="R337" s="36">
        <v>159.96</v>
      </c>
      <c r="S337" s="84">
        <f>225-18-18</f>
        <v>189</v>
      </c>
      <c r="T337" s="84">
        <v>167.4</v>
      </c>
      <c r="U337" s="84">
        <v>209.25</v>
      </c>
      <c r="V337" s="84">
        <v>159.96</v>
      </c>
      <c r="W337" s="84">
        <v>152.52000000000001</v>
      </c>
      <c r="X337" s="84">
        <v>201.81</v>
      </c>
      <c r="Y337" s="84">
        <v>159.96</v>
      </c>
      <c r="Z337" s="123"/>
      <c r="AA337" s="37">
        <f t="shared" si="408"/>
        <v>3753.9</v>
      </c>
      <c r="AB337" s="37">
        <f t="shared" si="409"/>
        <v>3753.9</v>
      </c>
      <c r="AC337" s="37">
        <f t="shared" si="410"/>
        <v>4736.0249999999996</v>
      </c>
      <c r="AD337" s="37">
        <f t="shared" si="411"/>
        <v>3753.9</v>
      </c>
      <c r="AE337" s="37">
        <f t="shared" si="412"/>
        <v>3599.1000000000004</v>
      </c>
      <c r="AF337" s="37">
        <f t="shared" si="413"/>
        <v>4252.5</v>
      </c>
      <c r="AG337" s="37">
        <f t="shared" si="414"/>
        <v>3766.5</v>
      </c>
      <c r="AH337" s="37">
        <f t="shared" si="415"/>
        <v>4708.125</v>
      </c>
      <c r="AI337" s="37">
        <f t="shared" si="416"/>
        <v>3599.1000000000004</v>
      </c>
      <c r="AJ337" s="37">
        <f t="shared" si="417"/>
        <v>3431.7000000000003</v>
      </c>
      <c r="AK337" s="37">
        <f t="shared" si="418"/>
        <v>4540.7250000000004</v>
      </c>
      <c r="AL337" s="37">
        <f t="shared" si="419"/>
        <v>3599.1000000000004</v>
      </c>
      <c r="AM337" s="120">
        <v>1</v>
      </c>
    </row>
    <row r="338" spans="1:39" s="91" customFormat="1" ht="15.6">
      <c r="A338" s="96" t="s">
        <v>336</v>
      </c>
      <c r="B338" s="83" t="s">
        <v>89</v>
      </c>
      <c r="C338" s="88" t="s">
        <v>518</v>
      </c>
      <c r="D338" s="88" t="s">
        <v>1015</v>
      </c>
      <c r="E338" s="85" t="s">
        <v>408</v>
      </c>
      <c r="F338" s="83" t="s">
        <v>29</v>
      </c>
      <c r="G338" s="83" t="s">
        <v>350</v>
      </c>
      <c r="H338" s="89" t="s">
        <v>60</v>
      </c>
      <c r="I338" s="108">
        <v>19</v>
      </c>
      <c r="J338" s="96" t="s">
        <v>368</v>
      </c>
      <c r="K338" s="125" t="s">
        <v>407</v>
      </c>
      <c r="L338" s="38" t="s">
        <v>34</v>
      </c>
      <c r="M338" s="90" t="s">
        <v>1</v>
      </c>
      <c r="N338" s="84">
        <v>165.87</v>
      </c>
      <c r="O338" s="84">
        <v>165.87</v>
      </c>
      <c r="P338" s="84">
        <v>209.51999999999998</v>
      </c>
      <c r="Q338" s="84">
        <v>174.6</v>
      </c>
      <c r="R338" s="84">
        <f>171-9</f>
        <v>162</v>
      </c>
      <c r="S338" s="84">
        <v>209.25</v>
      </c>
      <c r="T338" s="84">
        <v>167.4</v>
      </c>
      <c r="U338" s="84">
        <v>209.25</v>
      </c>
      <c r="V338" s="84">
        <v>159.03</v>
      </c>
      <c r="W338" s="84">
        <v>150.66</v>
      </c>
      <c r="X338" s="84">
        <v>209.25</v>
      </c>
      <c r="Y338" s="84">
        <v>159.03</v>
      </c>
      <c r="Z338" s="127"/>
      <c r="AA338" s="37">
        <f t="shared" si="408"/>
        <v>3151.53</v>
      </c>
      <c r="AB338" s="37">
        <f t="shared" si="409"/>
        <v>3151.53</v>
      </c>
      <c r="AC338" s="37">
        <f t="shared" si="410"/>
        <v>3980.8799999999997</v>
      </c>
      <c r="AD338" s="37">
        <f t="shared" si="411"/>
        <v>3317.4</v>
      </c>
      <c r="AE338" s="37">
        <f t="shared" si="412"/>
        <v>3078</v>
      </c>
      <c r="AF338" s="37">
        <f t="shared" si="413"/>
        <v>3975.75</v>
      </c>
      <c r="AG338" s="37">
        <f t="shared" si="414"/>
        <v>3180.6</v>
      </c>
      <c r="AH338" s="37">
        <f t="shared" si="415"/>
        <v>3975.75</v>
      </c>
      <c r="AI338" s="37">
        <f t="shared" si="416"/>
        <v>3021.57</v>
      </c>
      <c r="AJ338" s="37">
        <f t="shared" si="417"/>
        <v>2862.54</v>
      </c>
      <c r="AK338" s="37">
        <f t="shared" si="418"/>
        <v>3975.75</v>
      </c>
      <c r="AL338" s="37">
        <f t="shared" si="419"/>
        <v>3021.57</v>
      </c>
      <c r="AM338" s="120">
        <v>1</v>
      </c>
    </row>
    <row r="339" spans="1:39" s="91" customFormat="1" ht="15.6">
      <c r="A339" s="96" t="s">
        <v>336</v>
      </c>
      <c r="B339" s="83" t="s">
        <v>89</v>
      </c>
      <c r="C339" s="88" t="s">
        <v>519</v>
      </c>
      <c r="D339" s="88" t="s">
        <v>1016</v>
      </c>
      <c r="E339" s="88" t="s">
        <v>409</v>
      </c>
      <c r="F339" s="83" t="s">
        <v>29</v>
      </c>
      <c r="G339" s="83" t="s">
        <v>90</v>
      </c>
      <c r="H339" s="89" t="s">
        <v>36</v>
      </c>
      <c r="I339" s="108">
        <v>29.5</v>
      </c>
      <c r="J339" s="96" t="s">
        <v>368</v>
      </c>
      <c r="K339" s="125" t="s">
        <v>376</v>
      </c>
      <c r="L339" s="38" t="s">
        <v>34</v>
      </c>
      <c r="M339" s="90" t="s">
        <v>1</v>
      </c>
      <c r="N339" s="36">
        <v>174.6</v>
      </c>
      <c r="O339" s="36">
        <v>165.87</v>
      </c>
      <c r="P339" s="36">
        <v>200.79</v>
      </c>
      <c r="Q339" s="36">
        <v>174.6</v>
      </c>
      <c r="R339" s="36">
        <v>159.03</v>
      </c>
      <c r="S339" s="84">
        <v>209.25</v>
      </c>
      <c r="T339" s="36">
        <v>167.4</v>
      </c>
      <c r="U339" s="36">
        <v>209.25</v>
      </c>
      <c r="V339" s="36">
        <v>159.03</v>
      </c>
      <c r="W339" s="36">
        <v>150.66</v>
      </c>
      <c r="X339" s="36">
        <v>200.88000000000002</v>
      </c>
      <c r="Y339" s="36">
        <v>159.03</v>
      </c>
      <c r="Z339" s="127"/>
      <c r="AA339" s="37">
        <f t="shared" si="408"/>
        <v>5150.7</v>
      </c>
      <c r="AB339" s="37">
        <f t="shared" si="409"/>
        <v>4893.165</v>
      </c>
      <c r="AC339" s="37">
        <f t="shared" si="410"/>
        <v>5923.3049999999994</v>
      </c>
      <c r="AD339" s="37">
        <f t="shared" si="411"/>
        <v>5150.7</v>
      </c>
      <c r="AE339" s="37">
        <f t="shared" si="412"/>
        <v>4691.3850000000002</v>
      </c>
      <c r="AF339" s="37">
        <f t="shared" si="413"/>
        <v>6172.875</v>
      </c>
      <c r="AG339" s="37">
        <f t="shared" si="414"/>
        <v>4938.3</v>
      </c>
      <c r="AH339" s="37">
        <f t="shared" si="415"/>
        <v>6172.875</v>
      </c>
      <c r="AI339" s="37">
        <f t="shared" si="416"/>
        <v>4691.3850000000002</v>
      </c>
      <c r="AJ339" s="37">
        <f t="shared" si="417"/>
        <v>4444.47</v>
      </c>
      <c r="AK339" s="37">
        <f t="shared" si="418"/>
        <v>5925.9600000000009</v>
      </c>
      <c r="AL339" s="37">
        <f t="shared" si="419"/>
        <v>4691.3850000000002</v>
      </c>
      <c r="AM339" s="120">
        <v>1</v>
      </c>
    </row>
    <row r="340" spans="1:39" s="91" customFormat="1" ht="15.6">
      <c r="A340" s="96" t="s">
        <v>336</v>
      </c>
      <c r="B340" s="83" t="s">
        <v>89</v>
      </c>
      <c r="C340" s="88" t="s">
        <v>520</v>
      </c>
      <c r="D340" s="88" t="s">
        <v>1017</v>
      </c>
      <c r="E340" s="85" t="s">
        <v>410</v>
      </c>
      <c r="F340" s="83" t="s">
        <v>29</v>
      </c>
      <c r="G340" s="83" t="s">
        <v>353</v>
      </c>
      <c r="H340" s="89" t="s">
        <v>44</v>
      </c>
      <c r="I340" s="108">
        <v>17</v>
      </c>
      <c r="J340" s="88" t="s">
        <v>368</v>
      </c>
      <c r="K340" s="88" t="s">
        <v>376</v>
      </c>
      <c r="L340" s="38" t="s">
        <v>34</v>
      </c>
      <c r="M340" s="90" t="s">
        <v>1</v>
      </c>
      <c r="N340" s="84">
        <v>165.87</v>
      </c>
      <c r="O340" s="84">
        <v>165.87</v>
      </c>
      <c r="P340" s="84">
        <v>209.51999999999998</v>
      </c>
      <c r="Q340" s="84">
        <v>174.6</v>
      </c>
      <c r="R340" s="84">
        <v>159.03</v>
      </c>
      <c r="S340" s="84">
        <v>209.25</v>
      </c>
      <c r="T340" s="84">
        <v>167.4</v>
      </c>
      <c r="U340" s="84">
        <v>209.25</v>
      </c>
      <c r="V340" s="84">
        <v>159.03</v>
      </c>
      <c r="W340" s="84">
        <v>150.66</v>
      </c>
      <c r="X340" s="84">
        <v>209.25</v>
      </c>
      <c r="Y340" s="84">
        <v>159.03</v>
      </c>
      <c r="Z340" s="123"/>
      <c r="AA340" s="37">
        <f t="shared" si="408"/>
        <v>2819.79</v>
      </c>
      <c r="AB340" s="37">
        <f t="shared" si="409"/>
        <v>2819.79</v>
      </c>
      <c r="AC340" s="37">
        <f t="shared" si="410"/>
        <v>3561.8399999999997</v>
      </c>
      <c r="AD340" s="37">
        <f t="shared" si="411"/>
        <v>2968.2</v>
      </c>
      <c r="AE340" s="37">
        <f t="shared" si="412"/>
        <v>2703.51</v>
      </c>
      <c r="AF340" s="37">
        <f t="shared" si="413"/>
        <v>3557.25</v>
      </c>
      <c r="AG340" s="37">
        <f t="shared" si="414"/>
        <v>2845.8</v>
      </c>
      <c r="AH340" s="37">
        <f t="shared" si="415"/>
        <v>3557.25</v>
      </c>
      <c r="AI340" s="37">
        <f t="shared" si="416"/>
        <v>2703.51</v>
      </c>
      <c r="AJ340" s="37">
        <f t="shared" si="417"/>
        <v>2561.2199999999998</v>
      </c>
      <c r="AK340" s="37">
        <f t="shared" si="418"/>
        <v>3557.25</v>
      </c>
      <c r="AL340" s="37">
        <f t="shared" si="419"/>
        <v>2703.51</v>
      </c>
      <c r="AM340" s="120">
        <v>1</v>
      </c>
    </row>
    <row r="341" spans="1:39" s="91" customFormat="1" ht="15.6">
      <c r="A341" s="96" t="s">
        <v>336</v>
      </c>
      <c r="B341" s="83" t="s">
        <v>89</v>
      </c>
      <c r="C341" s="88" t="s">
        <v>521</v>
      </c>
      <c r="D341" s="88" t="s">
        <v>1018</v>
      </c>
      <c r="E341" s="88" t="s">
        <v>411</v>
      </c>
      <c r="F341" s="83" t="s">
        <v>29</v>
      </c>
      <c r="G341" s="83" t="s">
        <v>90</v>
      </c>
      <c r="H341" s="89" t="s">
        <v>36</v>
      </c>
      <c r="I341" s="108">
        <v>29.5</v>
      </c>
      <c r="J341" s="88" t="s">
        <v>368</v>
      </c>
      <c r="K341" s="88" t="s">
        <v>345</v>
      </c>
      <c r="L341" s="38" t="s">
        <v>34</v>
      </c>
      <c r="M341" s="90" t="s">
        <v>1</v>
      </c>
      <c r="N341" s="36">
        <v>174.6</v>
      </c>
      <c r="O341" s="36">
        <v>165.87</v>
      </c>
      <c r="P341" s="36">
        <v>200.79</v>
      </c>
      <c r="Q341" s="36">
        <v>174.6</v>
      </c>
      <c r="R341" s="36">
        <f>171-18</f>
        <v>153</v>
      </c>
      <c r="S341" s="84">
        <v>209.25</v>
      </c>
      <c r="T341" s="36">
        <v>167.4</v>
      </c>
      <c r="U341" s="36">
        <v>209.25</v>
      </c>
      <c r="V341" s="36">
        <v>159.03</v>
      </c>
      <c r="W341" s="36">
        <v>150.66</v>
      </c>
      <c r="X341" s="36">
        <v>200.88000000000002</v>
      </c>
      <c r="Y341" s="36">
        <v>159.03</v>
      </c>
      <c r="Z341" s="123"/>
      <c r="AA341" s="37">
        <f t="shared" si="408"/>
        <v>5150.7</v>
      </c>
      <c r="AB341" s="37">
        <f t="shared" si="409"/>
        <v>4893.165</v>
      </c>
      <c r="AC341" s="37">
        <f t="shared" si="410"/>
        <v>5923.3049999999994</v>
      </c>
      <c r="AD341" s="37">
        <f t="shared" si="411"/>
        <v>5150.7</v>
      </c>
      <c r="AE341" s="37">
        <f t="shared" si="412"/>
        <v>4513.5</v>
      </c>
      <c r="AF341" s="37">
        <f t="shared" si="413"/>
        <v>6172.875</v>
      </c>
      <c r="AG341" s="37">
        <f t="shared" si="414"/>
        <v>4938.3</v>
      </c>
      <c r="AH341" s="37">
        <f t="shared" si="415"/>
        <v>6172.875</v>
      </c>
      <c r="AI341" s="37">
        <f t="shared" si="416"/>
        <v>4691.3850000000002</v>
      </c>
      <c r="AJ341" s="37">
        <f t="shared" si="417"/>
        <v>4444.47</v>
      </c>
      <c r="AK341" s="37">
        <f t="shared" si="418"/>
        <v>5925.9600000000009</v>
      </c>
      <c r="AL341" s="37">
        <f t="shared" si="419"/>
        <v>4691.3850000000002</v>
      </c>
      <c r="AM341" s="120">
        <v>1</v>
      </c>
    </row>
    <row r="342" spans="1:39" s="91" customFormat="1" ht="15.6">
      <c r="A342" s="96" t="s">
        <v>336</v>
      </c>
      <c r="B342" s="83" t="s">
        <v>89</v>
      </c>
      <c r="C342" s="88" t="s">
        <v>522</v>
      </c>
      <c r="D342" s="88" t="s">
        <v>1019</v>
      </c>
      <c r="E342" s="85" t="s">
        <v>412</v>
      </c>
      <c r="F342" s="83" t="s">
        <v>29</v>
      </c>
      <c r="G342" s="83" t="s">
        <v>90</v>
      </c>
      <c r="H342" s="89" t="s">
        <v>60</v>
      </c>
      <c r="I342" s="108">
        <v>19</v>
      </c>
      <c r="J342" s="88" t="s">
        <v>368</v>
      </c>
      <c r="K342" s="88" t="s">
        <v>345</v>
      </c>
      <c r="L342" s="38" t="s">
        <v>34</v>
      </c>
      <c r="M342" s="90" t="s">
        <v>1</v>
      </c>
      <c r="N342" s="36">
        <v>131</v>
      </c>
      <c r="O342" s="36">
        <v>125</v>
      </c>
      <c r="P342" s="36">
        <v>151</v>
      </c>
      <c r="Q342" s="36">
        <v>131</v>
      </c>
      <c r="R342" s="36">
        <f>129-18</f>
        <v>111</v>
      </c>
      <c r="S342" s="84">
        <v>157</v>
      </c>
      <c r="T342" s="36">
        <v>131</v>
      </c>
      <c r="U342" s="36">
        <v>164</v>
      </c>
      <c r="V342" s="36">
        <v>125</v>
      </c>
      <c r="W342" s="36">
        <v>118</v>
      </c>
      <c r="X342" s="36">
        <v>158</v>
      </c>
      <c r="Y342" s="36">
        <v>125</v>
      </c>
      <c r="Z342" s="123" t="s">
        <v>713</v>
      </c>
      <c r="AA342" s="37">
        <f t="shared" si="408"/>
        <v>2489</v>
      </c>
      <c r="AB342" s="37">
        <f t="shared" si="409"/>
        <v>2375</v>
      </c>
      <c r="AC342" s="37">
        <f t="shared" si="410"/>
        <v>2869</v>
      </c>
      <c r="AD342" s="37">
        <f t="shared" si="411"/>
        <v>2489</v>
      </c>
      <c r="AE342" s="37">
        <f t="shared" si="412"/>
        <v>2109</v>
      </c>
      <c r="AF342" s="37">
        <f t="shared" si="413"/>
        <v>2983</v>
      </c>
      <c r="AG342" s="37">
        <f t="shared" si="414"/>
        <v>2489</v>
      </c>
      <c r="AH342" s="37">
        <f t="shared" si="415"/>
        <v>3116</v>
      </c>
      <c r="AI342" s="37">
        <f t="shared" si="416"/>
        <v>2375</v>
      </c>
      <c r="AJ342" s="37">
        <f t="shared" si="417"/>
        <v>2242</v>
      </c>
      <c r="AK342" s="37">
        <f t="shared" si="418"/>
        <v>3002</v>
      </c>
      <c r="AL342" s="37">
        <f t="shared" si="419"/>
        <v>2375</v>
      </c>
      <c r="AM342" s="120">
        <v>0.75</v>
      </c>
    </row>
    <row r="343" spans="1:39" s="91" customFormat="1" ht="15.6">
      <c r="A343" s="96" t="s">
        <v>336</v>
      </c>
      <c r="B343" s="83" t="s">
        <v>89</v>
      </c>
      <c r="C343" s="88" t="s">
        <v>522</v>
      </c>
      <c r="D343" s="88" t="s">
        <v>1019</v>
      </c>
      <c r="E343" s="85" t="s">
        <v>412</v>
      </c>
      <c r="F343" s="83" t="s">
        <v>29</v>
      </c>
      <c r="G343" s="83" t="s">
        <v>90</v>
      </c>
      <c r="H343" s="89" t="s">
        <v>60</v>
      </c>
      <c r="I343" s="108">
        <v>19</v>
      </c>
      <c r="J343" s="88" t="s">
        <v>125</v>
      </c>
      <c r="K343" s="125" t="s">
        <v>619</v>
      </c>
      <c r="L343" s="38" t="s">
        <v>34</v>
      </c>
      <c r="M343" s="90" t="s">
        <v>1</v>
      </c>
      <c r="N343" s="36">
        <v>44</v>
      </c>
      <c r="O343" s="36">
        <v>42</v>
      </c>
      <c r="P343" s="36">
        <v>51</v>
      </c>
      <c r="Q343" s="36">
        <v>44</v>
      </c>
      <c r="R343" s="36">
        <f>43-9</f>
        <v>34</v>
      </c>
      <c r="S343" s="84">
        <v>53</v>
      </c>
      <c r="T343" s="36">
        <v>44</v>
      </c>
      <c r="U343" s="36">
        <v>55</v>
      </c>
      <c r="V343" s="36">
        <v>42</v>
      </c>
      <c r="W343" s="36">
        <v>40</v>
      </c>
      <c r="X343" s="36">
        <v>53</v>
      </c>
      <c r="Y343" s="36">
        <v>42</v>
      </c>
      <c r="Z343" s="123" t="s">
        <v>713</v>
      </c>
      <c r="AA343" s="37">
        <f t="shared" si="408"/>
        <v>836</v>
      </c>
      <c r="AB343" s="37">
        <f t="shared" si="409"/>
        <v>798</v>
      </c>
      <c r="AC343" s="37">
        <f t="shared" si="410"/>
        <v>969</v>
      </c>
      <c r="AD343" s="37">
        <f t="shared" si="411"/>
        <v>836</v>
      </c>
      <c r="AE343" s="37">
        <f t="shared" si="412"/>
        <v>646</v>
      </c>
      <c r="AF343" s="37">
        <f t="shared" si="413"/>
        <v>1007</v>
      </c>
      <c r="AG343" s="37">
        <f t="shared" si="414"/>
        <v>836</v>
      </c>
      <c r="AH343" s="37">
        <f t="shared" si="415"/>
        <v>1045</v>
      </c>
      <c r="AI343" s="37">
        <f t="shared" si="416"/>
        <v>798</v>
      </c>
      <c r="AJ343" s="37">
        <f t="shared" si="417"/>
        <v>760</v>
      </c>
      <c r="AK343" s="37">
        <f t="shared" si="418"/>
        <v>1007</v>
      </c>
      <c r="AL343" s="37">
        <f t="shared" si="419"/>
        <v>798</v>
      </c>
      <c r="AM343" s="120">
        <v>0.25</v>
      </c>
    </row>
    <row r="344" spans="1:39" s="91" customFormat="1" ht="15.6">
      <c r="A344" s="96" t="s">
        <v>336</v>
      </c>
      <c r="B344" s="83" t="s">
        <v>89</v>
      </c>
      <c r="C344" s="88" t="s">
        <v>523</v>
      </c>
      <c r="D344" s="88" t="s">
        <v>1020</v>
      </c>
      <c r="E344" s="85" t="s">
        <v>413</v>
      </c>
      <c r="F344" s="83" t="s">
        <v>29</v>
      </c>
      <c r="G344" s="83" t="s">
        <v>350</v>
      </c>
      <c r="H344" s="89" t="s">
        <v>44</v>
      </c>
      <c r="I344" s="108">
        <v>17</v>
      </c>
      <c r="J344" s="88" t="s">
        <v>368</v>
      </c>
      <c r="K344" s="88" t="s">
        <v>345</v>
      </c>
      <c r="L344" s="38" t="s">
        <v>34</v>
      </c>
      <c r="M344" s="90" t="s">
        <v>1</v>
      </c>
      <c r="N344" s="84">
        <v>165.87</v>
      </c>
      <c r="O344" s="84">
        <v>165.87</v>
      </c>
      <c r="P344" s="84">
        <v>209.51999999999998</v>
      </c>
      <c r="Q344" s="84">
        <v>174.6</v>
      </c>
      <c r="R344" s="84">
        <v>159.03</v>
      </c>
      <c r="S344" s="84">
        <v>209.25</v>
      </c>
      <c r="T344" s="84">
        <v>167.4</v>
      </c>
      <c r="U344" s="84">
        <v>209.25</v>
      </c>
      <c r="V344" s="84">
        <v>159.03</v>
      </c>
      <c r="W344" s="84">
        <v>150.66</v>
      </c>
      <c r="X344" s="84">
        <v>209.25</v>
      </c>
      <c r="Y344" s="84">
        <v>159.03</v>
      </c>
      <c r="Z344" s="127"/>
      <c r="AA344" s="37">
        <f t="shared" si="408"/>
        <v>2819.79</v>
      </c>
      <c r="AB344" s="37">
        <f t="shared" si="409"/>
        <v>2819.79</v>
      </c>
      <c r="AC344" s="37">
        <f t="shared" si="410"/>
        <v>3561.8399999999997</v>
      </c>
      <c r="AD344" s="37">
        <f t="shared" si="411"/>
        <v>2968.2</v>
      </c>
      <c r="AE344" s="37">
        <f t="shared" si="412"/>
        <v>2703.51</v>
      </c>
      <c r="AF344" s="37">
        <f t="shared" si="413"/>
        <v>3557.25</v>
      </c>
      <c r="AG344" s="37">
        <f t="shared" si="414"/>
        <v>2845.8</v>
      </c>
      <c r="AH344" s="37">
        <f t="shared" si="415"/>
        <v>3557.25</v>
      </c>
      <c r="AI344" s="37">
        <f t="shared" si="416"/>
        <v>2703.51</v>
      </c>
      <c r="AJ344" s="37">
        <f t="shared" si="417"/>
        <v>2561.2199999999998</v>
      </c>
      <c r="AK344" s="37">
        <f t="shared" si="418"/>
        <v>3557.25</v>
      </c>
      <c r="AL344" s="37">
        <f t="shared" si="419"/>
        <v>2703.51</v>
      </c>
      <c r="AM344" s="120">
        <v>1</v>
      </c>
    </row>
    <row r="345" spans="1:39" s="91" customFormat="1" ht="15.6">
      <c r="A345" s="96" t="s">
        <v>336</v>
      </c>
      <c r="B345" s="83" t="s">
        <v>89</v>
      </c>
      <c r="C345" s="88" t="s">
        <v>524</v>
      </c>
      <c r="D345" s="88" t="s">
        <v>1021</v>
      </c>
      <c r="E345" s="85" t="s">
        <v>414</v>
      </c>
      <c r="F345" s="83" t="s">
        <v>29</v>
      </c>
      <c r="G345" s="83" t="s">
        <v>90</v>
      </c>
      <c r="H345" s="89" t="s">
        <v>44</v>
      </c>
      <c r="I345" s="108">
        <v>17</v>
      </c>
      <c r="J345" s="96" t="s">
        <v>368</v>
      </c>
      <c r="K345" s="88" t="s">
        <v>345</v>
      </c>
      <c r="L345" s="38" t="s">
        <v>34</v>
      </c>
      <c r="M345" s="90" t="s">
        <v>1</v>
      </c>
      <c r="N345" s="36">
        <v>174.6</v>
      </c>
      <c r="O345" s="36">
        <v>165.87</v>
      </c>
      <c r="P345" s="36">
        <v>200.79</v>
      </c>
      <c r="Q345" s="36">
        <v>174.6</v>
      </c>
      <c r="R345" s="36">
        <v>159.03</v>
      </c>
      <c r="S345" s="84">
        <v>209.25</v>
      </c>
      <c r="T345" s="36">
        <v>167.4</v>
      </c>
      <c r="U345" s="36">
        <v>209.25</v>
      </c>
      <c r="V345" s="36">
        <v>159.03</v>
      </c>
      <c r="W345" s="36">
        <v>150.66</v>
      </c>
      <c r="X345" s="36">
        <v>200.88000000000002</v>
      </c>
      <c r="Y345" s="36">
        <v>159.03</v>
      </c>
      <c r="Z345" s="127"/>
      <c r="AA345" s="37">
        <f t="shared" si="408"/>
        <v>2968.2</v>
      </c>
      <c r="AB345" s="37">
        <f t="shared" si="409"/>
        <v>2819.79</v>
      </c>
      <c r="AC345" s="37">
        <f t="shared" si="410"/>
        <v>3413.43</v>
      </c>
      <c r="AD345" s="37">
        <f t="shared" si="411"/>
        <v>2968.2</v>
      </c>
      <c r="AE345" s="37">
        <f t="shared" si="412"/>
        <v>2703.51</v>
      </c>
      <c r="AF345" s="37">
        <f t="shared" si="413"/>
        <v>3557.25</v>
      </c>
      <c r="AG345" s="37">
        <f t="shared" si="414"/>
        <v>2845.8</v>
      </c>
      <c r="AH345" s="37">
        <f t="shared" si="415"/>
        <v>3557.25</v>
      </c>
      <c r="AI345" s="37">
        <f t="shared" si="416"/>
        <v>2703.51</v>
      </c>
      <c r="AJ345" s="37">
        <f t="shared" si="417"/>
        <v>2561.2199999999998</v>
      </c>
      <c r="AK345" s="37">
        <f t="shared" si="418"/>
        <v>3414.9600000000005</v>
      </c>
      <c r="AL345" s="37">
        <f t="shared" si="419"/>
        <v>2703.51</v>
      </c>
      <c r="AM345" s="120">
        <v>1</v>
      </c>
    </row>
    <row r="346" spans="1:39" s="91" customFormat="1" ht="13.2" customHeight="1">
      <c r="A346" s="96" t="s">
        <v>336</v>
      </c>
      <c r="B346" s="83" t="s">
        <v>89</v>
      </c>
      <c r="C346" s="88" t="s">
        <v>525</v>
      </c>
      <c r="D346" s="88" t="s">
        <v>1022</v>
      </c>
      <c r="E346" s="85" t="s">
        <v>415</v>
      </c>
      <c r="F346" s="83" t="s">
        <v>29</v>
      </c>
      <c r="G346" s="83" t="s">
        <v>350</v>
      </c>
      <c r="H346" s="89" t="s">
        <v>31</v>
      </c>
      <c r="I346" s="108">
        <v>30.5</v>
      </c>
      <c r="J346" s="88" t="s">
        <v>368</v>
      </c>
      <c r="K346" s="88" t="s">
        <v>345</v>
      </c>
      <c r="L346" s="38" t="s">
        <v>34</v>
      </c>
      <c r="M346" s="90" t="s">
        <v>1</v>
      </c>
      <c r="N346" s="84">
        <v>165.87</v>
      </c>
      <c r="O346" s="84">
        <v>165.87</v>
      </c>
      <c r="P346" s="84">
        <v>209.51999999999998</v>
      </c>
      <c r="Q346" s="84">
        <v>174.6</v>
      </c>
      <c r="R346" s="84">
        <v>159.03</v>
      </c>
      <c r="S346" s="84">
        <v>209.25</v>
      </c>
      <c r="T346" s="84">
        <v>167.4</v>
      </c>
      <c r="U346" s="84">
        <v>209.25</v>
      </c>
      <c r="V346" s="84">
        <v>159.03</v>
      </c>
      <c r="W346" s="84">
        <v>150.66</v>
      </c>
      <c r="X346" s="84">
        <v>209.25</v>
      </c>
      <c r="Y346" s="84">
        <v>159.03</v>
      </c>
      <c r="Z346" s="88"/>
      <c r="AA346" s="37">
        <f t="shared" si="408"/>
        <v>5059.0349999999999</v>
      </c>
      <c r="AB346" s="37">
        <f t="shared" si="409"/>
        <v>5059.0349999999999</v>
      </c>
      <c r="AC346" s="37">
        <f t="shared" si="410"/>
        <v>6390.36</v>
      </c>
      <c r="AD346" s="37">
        <f t="shared" si="411"/>
        <v>5325.3</v>
      </c>
      <c r="AE346" s="37">
        <f t="shared" si="412"/>
        <v>4850.415</v>
      </c>
      <c r="AF346" s="37">
        <f t="shared" si="413"/>
        <v>6382.125</v>
      </c>
      <c r="AG346" s="37">
        <f t="shared" si="414"/>
        <v>5105.7</v>
      </c>
      <c r="AH346" s="37">
        <f t="shared" si="415"/>
        <v>6382.125</v>
      </c>
      <c r="AI346" s="37">
        <f t="shared" si="416"/>
        <v>4850.415</v>
      </c>
      <c r="AJ346" s="37">
        <f t="shared" si="417"/>
        <v>4595.13</v>
      </c>
      <c r="AK346" s="37">
        <f t="shared" si="418"/>
        <v>6382.125</v>
      </c>
      <c r="AL346" s="37">
        <f t="shared" si="419"/>
        <v>4850.415</v>
      </c>
      <c r="AM346" s="120">
        <v>1</v>
      </c>
    </row>
    <row r="347" spans="1:39" s="91" customFormat="1" ht="15.6">
      <c r="A347" s="96" t="s">
        <v>336</v>
      </c>
      <c r="B347" s="83" t="s">
        <v>89</v>
      </c>
      <c r="C347" s="88" t="s">
        <v>526</v>
      </c>
      <c r="D347" s="88" t="s">
        <v>1023</v>
      </c>
      <c r="E347" s="85" t="s">
        <v>416</v>
      </c>
      <c r="F347" s="83" t="s">
        <v>29</v>
      </c>
      <c r="G347" s="83" t="s">
        <v>350</v>
      </c>
      <c r="H347" s="89" t="s">
        <v>60</v>
      </c>
      <c r="I347" s="108">
        <v>19</v>
      </c>
      <c r="J347" s="96" t="s">
        <v>368</v>
      </c>
      <c r="K347" s="125" t="s">
        <v>417</v>
      </c>
      <c r="L347" s="38" t="s">
        <v>34</v>
      </c>
      <c r="M347" s="90" t="s">
        <v>1</v>
      </c>
      <c r="N347" s="84">
        <v>165.87</v>
      </c>
      <c r="O347" s="84">
        <v>165.87</v>
      </c>
      <c r="P347" s="84">
        <v>209.51999999999998</v>
      </c>
      <c r="Q347" s="84">
        <v>174.6</v>
      </c>
      <c r="R347" s="36">
        <v>159.03</v>
      </c>
      <c r="S347" s="84">
        <f>225-18-18</f>
        <v>189</v>
      </c>
      <c r="T347" s="84">
        <v>167.4</v>
      </c>
      <c r="U347" s="84">
        <v>209.25</v>
      </c>
      <c r="V347" s="84">
        <v>159.03</v>
      </c>
      <c r="W347" s="84">
        <v>150.66</v>
      </c>
      <c r="X347" s="84">
        <v>209.25</v>
      </c>
      <c r="Y347" s="84">
        <v>159.03</v>
      </c>
      <c r="Z347" s="88"/>
      <c r="AA347" s="37">
        <f t="shared" si="408"/>
        <v>3151.53</v>
      </c>
      <c r="AB347" s="37">
        <f t="shared" si="409"/>
        <v>3151.53</v>
      </c>
      <c r="AC347" s="37">
        <f t="shared" si="410"/>
        <v>3980.8799999999997</v>
      </c>
      <c r="AD347" s="37">
        <f t="shared" si="411"/>
        <v>3317.4</v>
      </c>
      <c r="AE347" s="37">
        <f t="shared" si="412"/>
        <v>3021.57</v>
      </c>
      <c r="AF347" s="37">
        <f t="shared" si="413"/>
        <v>3591</v>
      </c>
      <c r="AG347" s="37">
        <f t="shared" si="414"/>
        <v>3180.6</v>
      </c>
      <c r="AH347" s="37">
        <f t="shared" si="415"/>
        <v>3975.75</v>
      </c>
      <c r="AI347" s="37">
        <f t="shared" si="416"/>
        <v>3021.57</v>
      </c>
      <c r="AJ347" s="37">
        <f t="shared" si="417"/>
        <v>2862.54</v>
      </c>
      <c r="AK347" s="37">
        <f t="shared" si="418"/>
        <v>3975.75</v>
      </c>
      <c r="AL347" s="37">
        <f t="shared" si="419"/>
        <v>3021.57</v>
      </c>
      <c r="AM347" s="120">
        <v>1</v>
      </c>
    </row>
    <row r="348" spans="1:39" s="91" customFormat="1" ht="15.6">
      <c r="A348" s="96" t="s">
        <v>336</v>
      </c>
      <c r="B348" s="83" t="s">
        <v>89</v>
      </c>
      <c r="C348" s="88" t="s">
        <v>527</v>
      </c>
      <c r="D348" s="88" t="s">
        <v>1024</v>
      </c>
      <c r="E348" s="85" t="s">
        <v>418</v>
      </c>
      <c r="F348" s="83" t="s">
        <v>29</v>
      </c>
      <c r="G348" s="83" t="s">
        <v>90</v>
      </c>
      <c r="H348" s="89" t="s">
        <v>36</v>
      </c>
      <c r="I348" s="108">
        <v>29.5</v>
      </c>
      <c r="J348" s="88" t="s">
        <v>368</v>
      </c>
      <c r="K348" s="125" t="s">
        <v>417</v>
      </c>
      <c r="L348" s="38" t="s">
        <v>34</v>
      </c>
      <c r="M348" s="90" t="s">
        <v>1</v>
      </c>
      <c r="N348" s="36">
        <v>174.6</v>
      </c>
      <c r="O348" s="36">
        <v>165.87</v>
      </c>
      <c r="P348" s="36">
        <v>200.79</v>
      </c>
      <c r="Q348" s="36">
        <v>174.6</v>
      </c>
      <c r="R348" s="36">
        <v>159.03</v>
      </c>
      <c r="S348" s="84">
        <v>209.25</v>
      </c>
      <c r="T348" s="36">
        <v>167.4</v>
      </c>
      <c r="U348" s="36">
        <v>209.25</v>
      </c>
      <c r="V348" s="36">
        <v>159.03</v>
      </c>
      <c r="W348" s="36">
        <v>150.66</v>
      </c>
      <c r="X348" s="36">
        <v>200.88000000000002</v>
      </c>
      <c r="Y348" s="36">
        <v>159.03</v>
      </c>
      <c r="Z348" s="123"/>
      <c r="AA348" s="37">
        <f t="shared" si="408"/>
        <v>5150.7</v>
      </c>
      <c r="AB348" s="37">
        <f t="shared" si="409"/>
        <v>4893.165</v>
      </c>
      <c r="AC348" s="37">
        <f t="shared" si="410"/>
        <v>5923.3049999999994</v>
      </c>
      <c r="AD348" s="37">
        <f t="shared" si="411"/>
        <v>5150.7</v>
      </c>
      <c r="AE348" s="37">
        <f t="shared" si="412"/>
        <v>4691.3850000000002</v>
      </c>
      <c r="AF348" s="37">
        <f t="shared" si="413"/>
        <v>6172.875</v>
      </c>
      <c r="AG348" s="37">
        <f t="shared" si="414"/>
        <v>4938.3</v>
      </c>
      <c r="AH348" s="37">
        <f t="shared" si="415"/>
        <v>6172.875</v>
      </c>
      <c r="AI348" s="37">
        <f t="shared" si="416"/>
        <v>4691.3850000000002</v>
      </c>
      <c r="AJ348" s="37">
        <f t="shared" si="417"/>
        <v>4444.47</v>
      </c>
      <c r="AK348" s="37">
        <f t="shared" si="418"/>
        <v>5925.9600000000009</v>
      </c>
      <c r="AL348" s="37">
        <f t="shared" si="419"/>
        <v>4691.3850000000002</v>
      </c>
      <c r="AM348" s="120">
        <v>1</v>
      </c>
    </row>
    <row r="349" spans="1:39" s="91" customFormat="1" ht="15.6">
      <c r="A349" s="96" t="s">
        <v>336</v>
      </c>
      <c r="B349" s="83" t="s">
        <v>89</v>
      </c>
      <c r="C349" s="88" t="s">
        <v>528</v>
      </c>
      <c r="D349" s="88" t="s">
        <v>1025</v>
      </c>
      <c r="E349" s="85" t="s">
        <v>419</v>
      </c>
      <c r="F349" s="83" t="s">
        <v>29</v>
      </c>
      <c r="G349" s="83" t="s">
        <v>380</v>
      </c>
      <c r="H349" s="89" t="s">
        <v>31</v>
      </c>
      <c r="I349" s="108">
        <v>30.5</v>
      </c>
      <c r="J349" s="88" t="s">
        <v>368</v>
      </c>
      <c r="K349" s="88" t="s">
        <v>420</v>
      </c>
      <c r="L349" s="38" t="s">
        <v>34</v>
      </c>
      <c r="M349" s="90" t="s">
        <v>1</v>
      </c>
      <c r="N349" s="84">
        <v>125</v>
      </c>
      <c r="O349" s="84">
        <v>125</v>
      </c>
      <c r="P349" s="84">
        <v>158</v>
      </c>
      <c r="Q349" s="84">
        <v>125</v>
      </c>
      <c r="R349" s="84">
        <v>125</v>
      </c>
      <c r="S349" s="84">
        <v>157</v>
      </c>
      <c r="T349" s="84">
        <v>131</v>
      </c>
      <c r="U349" s="84">
        <v>164</v>
      </c>
      <c r="V349" s="84">
        <v>125</v>
      </c>
      <c r="W349" s="84">
        <v>118</v>
      </c>
      <c r="X349" s="84">
        <v>164</v>
      </c>
      <c r="Y349" s="84">
        <v>125</v>
      </c>
      <c r="Z349" s="123" t="s">
        <v>713</v>
      </c>
      <c r="AA349" s="37">
        <f t="shared" si="408"/>
        <v>3812.5</v>
      </c>
      <c r="AB349" s="37">
        <f t="shared" si="409"/>
        <v>3812.5</v>
      </c>
      <c r="AC349" s="37">
        <f t="shared" si="410"/>
        <v>4819</v>
      </c>
      <c r="AD349" s="37">
        <f t="shared" si="411"/>
        <v>3812.5</v>
      </c>
      <c r="AE349" s="37">
        <f t="shared" si="412"/>
        <v>3812.5</v>
      </c>
      <c r="AF349" s="37">
        <f t="shared" si="413"/>
        <v>4788.5</v>
      </c>
      <c r="AG349" s="37">
        <f t="shared" si="414"/>
        <v>3995.5</v>
      </c>
      <c r="AH349" s="37">
        <f t="shared" si="415"/>
        <v>5002</v>
      </c>
      <c r="AI349" s="37">
        <f t="shared" si="416"/>
        <v>3812.5</v>
      </c>
      <c r="AJ349" s="37">
        <f t="shared" si="417"/>
        <v>3599</v>
      </c>
      <c r="AK349" s="37">
        <f t="shared" si="418"/>
        <v>5002</v>
      </c>
      <c r="AL349" s="37">
        <f t="shared" si="419"/>
        <v>3812.5</v>
      </c>
      <c r="AM349" s="120">
        <v>0.75</v>
      </c>
    </row>
    <row r="350" spans="1:39" s="91" customFormat="1" ht="15.6">
      <c r="A350" s="96" t="s">
        <v>336</v>
      </c>
      <c r="B350" s="83" t="s">
        <v>89</v>
      </c>
      <c r="C350" s="88" t="s">
        <v>528</v>
      </c>
      <c r="D350" s="88" t="s">
        <v>1025</v>
      </c>
      <c r="E350" s="85" t="s">
        <v>419</v>
      </c>
      <c r="F350" s="83" t="s">
        <v>29</v>
      </c>
      <c r="G350" s="83" t="s">
        <v>380</v>
      </c>
      <c r="H350" s="89" t="s">
        <v>31</v>
      </c>
      <c r="I350" s="108">
        <v>30.5</v>
      </c>
      <c r="J350" s="88" t="s">
        <v>125</v>
      </c>
      <c r="K350" s="125" t="s">
        <v>619</v>
      </c>
      <c r="L350" s="38" t="s">
        <v>34</v>
      </c>
      <c r="M350" s="90" t="s">
        <v>1</v>
      </c>
      <c r="N350" s="84">
        <v>42</v>
      </c>
      <c r="O350" s="84">
        <v>42</v>
      </c>
      <c r="P350" s="84">
        <v>53</v>
      </c>
      <c r="Q350" s="84">
        <v>42</v>
      </c>
      <c r="R350" s="84">
        <v>42</v>
      </c>
      <c r="S350" s="84">
        <v>53</v>
      </c>
      <c r="T350" s="84">
        <v>44</v>
      </c>
      <c r="U350" s="84">
        <v>55</v>
      </c>
      <c r="V350" s="84">
        <v>42</v>
      </c>
      <c r="W350" s="84">
        <v>40</v>
      </c>
      <c r="X350" s="84">
        <v>55</v>
      </c>
      <c r="Y350" s="84">
        <v>42</v>
      </c>
      <c r="Z350" s="123" t="s">
        <v>713</v>
      </c>
      <c r="AA350" s="37">
        <f t="shared" si="408"/>
        <v>1281</v>
      </c>
      <c r="AB350" s="37">
        <f t="shared" si="409"/>
        <v>1281</v>
      </c>
      <c r="AC350" s="37">
        <f t="shared" si="410"/>
        <v>1616.5</v>
      </c>
      <c r="AD350" s="37">
        <f t="shared" si="411"/>
        <v>1281</v>
      </c>
      <c r="AE350" s="37">
        <f t="shared" si="412"/>
        <v>1281</v>
      </c>
      <c r="AF350" s="37">
        <f t="shared" si="413"/>
        <v>1616.5</v>
      </c>
      <c r="AG350" s="37">
        <f t="shared" si="414"/>
        <v>1342</v>
      </c>
      <c r="AH350" s="37">
        <f t="shared" si="415"/>
        <v>1677.5</v>
      </c>
      <c r="AI350" s="37">
        <f t="shared" si="416"/>
        <v>1281</v>
      </c>
      <c r="AJ350" s="37">
        <f t="shared" si="417"/>
        <v>1220</v>
      </c>
      <c r="AK350" s="37">
        <f t="shared" si="418"/>
        <v>1677.5</v>
      </c>
      <c r="AL350" s="37">
        <f t="shared" si="419"/>
        <v>1281</v>
      </c>
      <c r="AM350" s="120">
        <v>0.25</v>
      </c>
    </row>
    <row r="351" spans="1:39" s="91" customFormat="1" ht="15.6">
      <c r="A351" s="96" t="s">
        <v>336</v>
      </c>
      <c r="B351" s="83" t="s">
        <v>89</v>
      </c>
      <c r="C351" s="88" t="s">
        <v>529</v>
      </c>
      <c r="D351" s="88" t="s">
        <v>1026</v>
      </c>
      <c r="E351" s="85" t="s">
        <v>421</v>
      </c>
      <c r="F351" s="83" t="s">
        <v>29</v>
      </c>
      <c r="G351" s="83" t="s">
        <v>90</v>
      </c>
      <c r="H351" s="89" t="s">
        <v>31</v>
      </c>
      <c r="I351" s="108">
        <v>30.5</v>
      </c>
      <c r="J351" s="88" t="s">
        <v>368</v>
      </c>
      <c r="K351" s="88" t="s">
        <v>422</v>
      </c>
      <c r="L351" s="38" t="s">
        <v>34</v>
      </c>
      <c r="M351" s="90" t="s">
        <v>1</v>
      </c>
      <c r="N351" s="36">
        <v>174.6</v>
      </c>
      <c r="O351" s="36">
        <v>165.87</v>
      </c>
      <c r="P351" s="36">
        <v>200.79</v>
      </c>
      <c r="Q351" s="36">
        <v>174.6</v>
      </c>
      <c r="R351" s="36">
        <v>159.03</v>
      </c>
      <c r="S351" s="84">
        <v>209.25</v>
      </c>
      <c r="T351" s="36">
        <v>167.4</v>
      </c>
      <c r="U351" s="36">
        <v>209.25</v>
      </c>
      <c r="V351" s="36">
        <v>159.03</v>
      </c>
      <c r="W351" s="36">
        <v>150.66</v>
      </c>
      <c r="X351" s="36">
        <v>200.88000000000002</v>
      </c>
      <c r="Y351" s="36">
        <v>159.03</v>
      </c>
      <c r="Z351" s="123"/>
      <c r="AA351" s="37">
        <f t="shared" si="408"/>
        <v>5325.3</v>
      </c>
      <c r="AB351" s="37">
        <f t="shared" si="409"/>
        <v>5059.0349999999999</v>
      </c>
      <c r="AC351" s="37">
        <f t="shared" si="410"/>
        <v>6124.0949999999993</v>
      </c>
      <c r="AD351" s="37">
        <f t="shared" si="411"/>
        <v>5325.3</v>
      </c>
      <c r="AE351" s="37">
        <f t="shared" si="412"/>
        <v>4850.415</v>
      </c>
      <c r="AF351" s="37">
        <f t="shared" si="413"/>
        <v>6382.125</v>
      </c>
      <c r="AG351" s="37">
        <f t="shared" si="414"/>
        <v>5105.7</v>
      </c>
      <c r="AH351" s="37">
        <f t="shared" si="415"/>
        <v>6382.125</v>
      </c>
      <c r="AI351" s="37">
        <f t="shared" si="416"/>
        <v>4850.415</v>
      </c>
      <c r="AJ351" s="37">
        <f t="shared" si="417"/>
        <v>4595.13</v>
      </c>
      <c r="AK351" s="37">
        <f t="shared" si="418"/>
        <v>6126.8400000000011</v>
      </c>
      <c r="AL351" s="37">
        <f t="shared" si="419"/>
        <v>4850.415</v>
      </c>
      <c r="AM351" s="120">
        <v>1</v>
      </c>
    </row>
    <row r="352" spans="1:39" s="91" customFormat="1" ht="15.6">
      <c r="A352" s="96" t="s">
        <v>336</v>
      </c>
      <c r="B352" s="83" t="s">
        <v>89</v>
      </c>
      <c r="C352" s="88" t="s">
        <v>530</v>
      </c>
      <c r="D352" s="88" t="s">
        <v>1027</v>
      </c>
      <c r="E352" s="85" t="s">
        <v>423</v>
      </c>
      <c r="F352" s="83" t="s">
        <v>29</v>
      </c>
      <c r="G352" s="83" t="s">
        <v>350</v>
      </c>
      <c r="H352" s="89" t="s">
        <v>44</v>
      </c>
      <c r="I352" s="108">
        <v>17</v>
      </c>
      <c r="J352" s="88" t="s">
        <v>368</v>
      </c>
      <c r="K352" s="88" t="s">
        <v>422</v>
      </c>
      <c r="L352" s="38" t="s">
        <v>34</v>
      </c>
      <c r="M352" s="90" t="s">
        <v>1</v>
      </c>
      <c r="N352" s="84">
        <v>165.87</v>
      </c>
      <c r="O352" s="84">
        <v>165.87</v>
      </c>
      <c r="P352" s="84">
        <v>209.51999999999998</v>
      </c>
      <c r="Q352" s="84">
        <v>174.6</v>
      </c>
      <c r="R352" s="84">
        <v>159.03</v>
      </c>
      <c r="S352" s="84">
        <v>209.25</v>
      </c>
      <c r="T352" s="84">
        <v>167.4</v>
      </c>
      <c r="U352" s="84">
        <v>209.25</v>
      </c>
      <c r="V352" s="84">
        <v>159.03</v>
      </c>
      <c r="W352" s="84">
        <v>150.66</v>
      </c>
      <c r="X352" s="84">
        <v>209.25</v>
      </c>
      <c r="Y352" s="84">
        <v>159.03</v>
      </c>
      <c r="Z352" s="123"/>
      <c r="AA352" s="37">
        <f t="shared" ref="AA352:AA391" si="444">$I352*N352</f>
        <v>2819.79</v>
      </c>
      <c r="AB352" s="37">
        <f t="shared" ref="AB352:AB391" si="445">$I352*O352</f>
        <v>2819.79</v>
      </c>
      <c r="AC352" s="37">
        <f t="shared" ref="AC352:AC391" si="446">$I352*P352</f>
        <v>3561.8399999999997</v>
      </c>
      <c r="AD352" s="37">
        <f t="shared" ref="AD352:AD391" si="447">$I352*Q352</f>
        <v>2968.2</v>
      </c>
      <c r="AE352" s="37">
        <f t="shared" ref="AE352:AE391" si="448">$I352*R352</f>
        <v>2703.51</v>
      </c>
      <c r="AF352" s="37">
        <f t="shared" ref="AF352:AF391" si="449">$I352*S352</f>
        <v>3557.25</v>
      </c>
      <c r="AG352" s="37">
        <f t="shared" ref="AG352:AG391" si="450">$I352*T352</f>
        <v>2845.8</v>
      </c>
      <c r="AH352" s="37">
        <f t="shared" ref="AH352:AH391" si="451">$I352*U352</f>
        <v>3557.25</v>
      </c>
      <c r="AI352" s="37">
        <f t="shared" ref="AI352:AI391" si="452">$I352*V352</f>
        <v>2703.51</v>
      </c>
      <c r="AJ352" s="37">
        <f t="shared" ref="AJ352:AJ391" si="453">$I352*W352</f>
        <v>2561.2199999999998</v>
      </c>
      <c r="AK352" s="37">
        <f t="shared" ref="AK352:AK391" si="454">$I352*X352</f>
        <v>3557.25</v>
      </c>
      <c r="AL352" s="37">
        <f t="shared" ref="AL352:AL391" si="455">$I352*Y352</f>
        <v>2703.51</v>
      </c>
      <c r="AM352" s="120">
        <v>1</v>
      </c>
    </row>
    <row r="353" spans="1:39" s="91" customFormat="1" ht="15.6">
      <c r="A353" s="96" t="s">
        <v>336</v>
      </c>
      <c r="B353" s="83" t="s">
        <v>89</v>
      </c>
      <c r="C353" s="88" t="s">
        <v>531</v>
      </c>
      <c r="D353" s="88" t="s">
        <v>1028</v>
      </c>
      <c r="E353" s="85" t="s">
        <v>424</v>
      </c>
      <c r="F353" s="83" t="s">
        <v>29</v>
      </c>
      <c r="G353" s="83" t="s">
        <v>90</v>
      </c>
      <c r="H353" s="89" t="s">
        <v>60</v>
      </c>
      <c r="I353" s="108">
        <v>19</v>
      </c>
      <c r="J353" s="88" t="s">
        <v>368</v>
      </c>
      <c r="K353" s="88" t="s">
        <v>422</v>
      </c>
      <c r="L353" s="38" t="s">
        <v>34</v>
      </c>
      <c r="M353" s="90" t="s">
        <v>1</v>
      </c>
      <c r="N353" s="36">
        <v>174.6</v>
      </c>
      <c r="O353" s="36">
        <v>165.87</v>
      </c>
      <c r="P353" s="36">
        <v>200.79</v>
      </c>
      <c r="Q353" s="36">
        <v>174.6</v>
      </c>
      <c r="R353" s="36">
        <v>159.03</v>
      </c>
      <c r="S353" s="84">
        <v>209.25</v>
      </c>
      <c r="T353" s="36">
        <v>167.4</v>
      </c>
      <c r="U353" s="36">
        <v>209.25</v>
      </c>
      <c r="V353" s="36">
        <v>159.03</v>
      </c>
      <c r="W353" s="36">
        <v>150.66</v>
      </c>
      <c r="X353" s="36">
        <v>200.88000000000002</v>
      </c>
      <c r="Y353" s="36">
        <v>159.03</v>
      </c>
      <c r="Z353" s="123"/>
      <c r="AA353" s="37">
        <f t="shared" si="444"/>
        <v>3317.4</v>
      </c>
      <c r="AB353" s="37">
        <f t="shared" si="445"/>
        <v>3151.53</v>
      </c>
      <c r="AC353" s="37">
        <f t="shared" si="446"/>
        <v>3815.0099999999998</v>
      </c>
      <c r="AD353" s="37">
        <f t="shared" si="447"/>
        <v>3317.4</v>
      </c>
      <c r="AE353" s="37">
        <f t="shared" si="448"/>
        <v>3021.57</v>
      </c>
      <c r="AF353" s="37">
        <f t="shared" si="449"/>
        <v>3975.75</v>
      </c>
      <c r="AG353" s="37">
        <f t="shared" si="450"/>
        <v>3180.6</v>
      </c>
      <c r="AH353" s="37">
        <f t="shared" si="451"/>
        <v>3975.75</v>
      </c>
      <c r="AI353" s="37">
        <f t="shared" si="452"/>
        <v>3021.57</v>
      </c>
      <c r="AJ353" s="37">
        <f t="shared" si="453"/>
        <v>2862.54</v>
      </c>
      <c r="AK353" s="37">
        <f t="shared" si="454"/>
        <v>3816.7200000000003</v>
      </c>
      <c r="AL353" s="37">
        <f t="shared" si="455"/>
        <v>3021.57</v>
      </c>
      <c r="AM353" s="120">
        <v>1</v>
      </c>
    </row>
    <row r="354" spans="1:39" s="91" customFormat="1" ht="15.6">
      <c r="A354" s="96" t="s">
        <v>336</v>
      </c>
      <c r="B354" s="83" t="s">
        <v>89</v>
      </c>
      <c r="C354" s="88" t="s">
        <v>532</v>
      </c>
      <c r="D354" s="88" t="s">
        <v>1029</v>
      </c>
      <c r="E354" s="85" t="s">
        <v>425</v>
      </c>
      <c r="F354" s="83" t="s">
        <v>29</v>
      </c>
      <c r="G354" s="83" t="s">
        <v>350</v>
      </c>
      <c r="H354" s="89" t="s">
        <v>60</v>
      </c>
      <c r="I354" s="108">
        <v>19</v>
      </c>
      <c r="J354" s="88" t="s">
        <v>368</v>
      </c>
      <c r="K354" s="88" t="s">
        <v>422</v>
      </c>
      <c r="L354" s="38" t="s">
        <v>34</v>
      </c>
      <c r="M354" s="90" t="s">
        <v>1</v>
      </c>
      <c r="N354" s="84">
        <v>165.87</v>
      </c>
      <c r="O354" s="84">
        <v>165.87</v>
      </c>
      <c r="P354" s="84">
        <v>209.51999999999998</v>
      </c>
      <c r="Q354" s="84">
        <v>174.6</v>
      </c>
      <c r="R354" s="84">
        <v>159.03</v>
      </c>
      <c r="S354" s="84">
        <v>209.25</v>
      </c>
      <c r="T354" s="84">
        <v>167.4</v>
      </c>
      <c r="U354" s="84">
        <v>209.25</v>
      </c>
      <c r="V354" s="84">
        <v>159.03</v>
      </c>
      <c r="W354" s="84">
        <v>150.66</v>
      </c>
      <c r="X354" s="84">
        <v>209.25</v>
      </c>
      <c r="Y354" s="84">
        <v>159.03</v>
      </c>
      <c r="Z354" s="123"/>
      <c r="AA354" s="37">
        <f t="shared" si="444"/>
        <v>3151.53</v>
      </c>
      <c r="AB354" s="37">
        <f t="shared" si="445"/>
        <v>3151.53</v>
      </c>
      <c r="AC354" s="37">
        <f t="shared" si="446"/>
        <v>3980.8799999999997</v>
      </c>
      <c r="AD354" s="37">
        <f t="shared" si="447"/>
        <v>3317.4</v>
      </c>
      <c r="AE354" s="37">
        <f t="shared" si="448"/>
        <v>3021.57</v>
      </c>
      <c r="AF354" s="37">
        <f t="shared" si="449"/>
        <v>3975.75</v>
      </c>
      <c r="AG354" s="37">
        <f t="shared" si="450"/>
        <v>3180.6</v>
      </c>
      <c r="AH354" s="37">
        <f t="shared" si="451"/>
        <v>3975.75</v>
      </c>
      <c r="AI354" s="37">
        <f t="shared" si="452"/>
        <v>3021.57</v>
      </c>
      <c r="AJ354" s="37">
        <f t="shared" si="453"/>
        <v>2862.54</v>
      </c>
      <c r="AK354" s="37">
        <f t="shared" si="454"/>
        <v>3975.75</v>
      </c>
      <c r="AL354" s="37">
        <f t="shared" si="455"/>
        <v>3021.57</v>
      </c>
      <c r="AM354" s="120">
        <v>1</v>
      </c>
    </row>
    <row r="355" spans="1:39" s="91" customFormat="1" ht="15.6">
      <c r="A355" s="96" t="s">
        <v>336</v>
      </c>
      <c r="B355" s="83" t="s">
        <v>89</v>
      </c>
      <c r="C355" s="88" t="s">
        <v>533</v>
      </c>
      <c r="D355" s="88" t="s">
        <v>1030</v>
      </c>
      <c r="E355" s="38" t="s">
        <v>426</v>
      </c>
      <c r="F355" s="83" t="s">
        <v>29</v>
      </c>
      <c r="G355" s="83" t="s">
        <v>350</v>
      </c>
      <c r="H355" s="89" t="s">
        <v>44</v>
      </c>
      <c r="I355" s="108">
        <v>17</v>
      </c>
      <c r="J355" s="88" t="s">
        <v>368</v>
      </c>
      <c r="K355" s="88" t="s">
        <v>422</v>
      </c>
      <c r="L355" s="38" t="s">
        <v>34</v>
      </c>
      <c r="M355" s="90" t="s">
        <v>1</v>
      </c>
      <c r="N355" s="84">
        <v>165.87</v>
      </c>
      <c r="O355" s="84">
        <v>165.87</v>
      </c>
      <c r="P355" s="84">
        <v>209.51999999999998</v>
      </c>
      <c r="Q355" s="84">
        <v>174.6</v>
      </c>
      <c r="R355" s="84">
        <v>159.03</v>
      </c>
      <c r="S355" s="84">
        <v>209.25</v>
      </c>
      <c r="T355" s="84">
        <v>167.4</v>
      </c>
      <c r="U355" s="84">
        <v>209.25</v>
      </c>
      <c r="V355" s="84">
        <v>159.03</v>
      </c>
      <c r="W355" s="84">
        <v>150.66</v>
      </c>
      <c r="X355" s="84">
        <v>209.25</v>
      </c>
      <c r="Y355" s="84">
        <v>159.03</v>
      </c>
      <c r="Z355" s="88"/>
      <c r="AA355" s="37">
        <f t="shared" si="444"/>
        <v>2819.79</v>
      </c>
      <c r="AB355" s="37">
        <f t="shared" si="445"/>
        <v>2819.79</v>
      </c>
      <c r="AC355" s="37">
        <f t="shared" si="446"/>
        <v>3561.8399999999997</v>
      </c>
      <c r="AD355" s="37">
        <f t="shared" si="447"/>
        <v>2968.2</v>
      </c>
      <c r="AE355" s="37">
        <f t="shared" si="448"/>
        <v>2703.51</v>
      </c>
      <c r="AF355" s="37">
        <f t="shared" si="449"/>
        <v>3557.25</v>
      </c>
      <c r="AG355" s="37">
        <f t="shared" si="450"/>
        <v>2845.8</v>
      </c>
      <c r="AH355" s="37">
        <f t="shared" si="451"/>
        <v>3557.25</v>
      </c>
      <c r="AI355" s="37">
        <f t="shared" si="452"/>
        <v>2703.51</v>
      </c>
      <c r="AJ355" s="37">
        <f t="shared" si="453"/>
        <v>2561.2199999999998</v>
      </c>
      <c r="AK355" s="37">
        <f t="shared" si="454"/>
        <v>3557.25</v>
      </c>
      <c r="AL355" s="37">
        <f t="shared" si="455"/>
        <v>2703.51</v>
      </c>
      <c r="AM355" s="120">
        <v>1</v>
      </c>
    </row>
    <row r="356" spans="1:39" s="91" customFormat="1" ht="15.6">
      <c r="A356" s="96" t="s">
        <v>336</v>
      </c>
      <c r="B356" s="83" t="s">
        <v>89</v>
      </c>
      <c r="C356" s="88" t="s">
        <v>534</v>
      </c>
      <c r="D356" s="88" t="s">
        <v>1031</v>
      </c>
      <c r="E356" s="88" t="s">
        <v>427</v>
      </c>
      <c r="F356" s="83" t="s">
        <v>29</v>
      </c>
      <c r="G356" s="83" t="s">
        <v>90</v>
      </c>
      <c r="H356" s="89" t="s">
        <v>31</v>
      </c>
      <c r="I356" s="108">
        <v>30.5</v>
      </c>
      <c r="J356" s="88" t="s">
        <v>368</v>
      </c>
      <c r="K356" s="88" t="s">
        <v>428</v>
      </c>
      <c r="L356" s="38" t="s">
        <v>34</v>
      </c>
      <c r="M356" s="90" t="s">
        <v>1</v>
      </c>
      <c r="N356" s="36">
        <v>174.6</v>
      </c>
      <c r="O356" s="36">
        <v>165.87</v>
      </c>
      <c r="P356" s="36">
        <v>200.79</v>
      </c>
      <c r="Q356" s="36">
        <v>174.6</v>
      </c>
      <c r="R356" s="36">
        <v>159.03</v>
      </c>
      <c r="S356" s="84">
        <v>209.25</v>
      </c>
      <c r="T356" s="36">
        <v>167.4</v>
      </c>
      <c r="U356" s="36">
        <v>209.25</v>
      </c>
      <c r="V356" s="36">
        <v>159.03</v>
      </c>
      <c r="W356" s="36">
        <v>150.66</v>
      </c>
      <c r="X356" s="36">
        <v>200.88000000000002</v>
      </c>
      <c r="Y356" s="36">
        <v>159.03</v>
      </c>
      <c r="Z356" s="123"/>
      <c r="AA356" s="37">
        <f t="shared" si="444"/>
        <v>5325.3</v>
      </c>
      <c r="AB356" s="37">
        <f t="shared" si="445"/>
        <v>5059.0349999999999</v>
      </c>
      <c r="AC356" s="37">
        <f t="shared" si="446"/>
        <v>6124.0949999999993</v>
      </c>
      <c r="AD356" s="37">
        <f t="shared" si="447"/>
        <v>5325.3</v>
      </c>
      <c r="AE356" s="37">
        <f t="shared" si="448"/>
        <v>4850.415</v>
      </c>
      <c r="AF356" s="37">
        <f t="shared" si="449"/>
        <v>6382.125</v>
      </c>
      <c r="AG356" s="37">
        <f t="shared" si="450"/>
        <v>5105.7</v>
      </c>
      <c r="AH356" s="37">
        <f t="shared" si="451"/>
        <v>6382.125</v>
      </c>
      <c r="AI356" s="37">
        <f t="shared" si="452"/>
        <v>4850.415</v>
      </c>
      <c r="AJ356" s="37">
        <f t="shared" si="453"/>
        <v>4595.13</v>
      </c>
      <c r="AK356" s="37">
        <f t="shared" si="454"/>
        <v>6126.8400000000011</v>
      </c>
      <c r="AL356" s="37">
        <f t="shared" si="455"/>
        <v>4850.415</v>
      </c>
      <c r="AM356" s="120">
        <v>1</v>
      </c>
    </row>
    <row r="357" spans="1:39" s="91" customFormat="1" ht="15.6">
      <c r="A357" s="96" t="s">
        <v>336</v>
      </c>
      <c r="B357" s="83" t="s">
        <v>89</v>
      </c>
      <c r="C357" s="88" t="s">
        <v>535</v>
      </c>
      <c r="D357" s="88" t="s">
        <v>1032</v>
      </c>
      <c r="E357" s="88" t="s">
        <v>429</v>
      </c>
      <c r="F357" s="83" t="s">
        <v>29</v>
      </c>
      <c r="G357" s="83" t="s">
        <v>90</v>
      </c>
      <c r="H357" s="89" t="s">
        <v>60</v>
      </c>
      <c r="I357" s="108">
        <v>22.5</v>
      </c>
      <c r="J357" s="88" t="s">
        <v>368</v>
      </c>
      <c r="K357" s="88" t="s">
        <v>428</v>
      </c>
      <c r="L357" s="88" t="s">
        <v>34</v>
      </c>
      <c r="M357" s="90" t="s">
        <v>3</v>
      </c>
      <c r="N357" s="84">
        <v>166.84</v>
      </c>
      <c r="O357" s="84">
        <v>166.84</v>
      </c>
      <c r="P357" s="84">
        <v>210.48999999999998</v>
      </c>
      <c r="Q357" s="84">
        <v>166.84</v>
      </c>
      <c r="R357" s="36">
        <v>159.96</v>
      </c>
      <c r="S357" s="84">
        <v>209.25</v>
      </c>
      <c r="T357" s="84">
        <v>167.4</v>
      </c>
      <c r="U357" s="84">
        <v>209.25</v>
      </c>
      <c r="V357" s="84">
        <v>159.96</v>
      </c>
      <c r="W357" s="84">
        <v>152.52000000000001</v>
      </c>
      <c r="X357" s="84">
        <v>201.81</v>
      </c>
      <c r="Y357" s="84">
        <v>159.96</v>
      </c>
      <c r="Z357" s="123"/>
      <c r="AA357" s="37">
        <f t="shared" si="444"/>
        <v>3753.9</v>
      </c>
      <c r="AB357" s="37">
        <f t="shared" si="445"/>
        <v>3753.9</v>
      </c>
      <c r="AC357" s="37">
        <f t="shared" si="446"/>
        <v>4736.0249999999996</v>
      </c>
      <c r="AD357" s="37">
        <f t="shared" si="447"/>
        <v>3753.9</v>
      </c>
      <c r="AE357" s="37">
        <f t="shared" si="448"/>
        <v>3599.1000000000004</v>
      </c>
      <c r="AF357" s="37">
        <f t="shared" si="449"/>
        <v>4708.125</v>
      </c>
      <c r="AG357" s="37">
        <f t="shared" si="450"/>
        <v>3766.5</v>
      </c>
      <c r="AH357" s="37">
        <f t="shared" si="451"/>
        <v>4708.125</v>
      </c>
      <c r="AI357" s="37">
        <f t="shared" si="452"/>
        <v>3599.1000000000004</v>
      </c>
      <c r="AJ357" s="37">
        <f t="shared" si="453"/>
        <v>3431.7000000000003</v>
      </c>
      <c r="AK357" s="37">
        <f t="shared" si="454"/>
        <v>4540.7250000000004</v>
      </c>
      <c r="AL357" s="37">
        <f t="shared" si="455"/>
        <v>3599.1000000000004</v>
      </c>
      <c r="AM357" s="120">
        <v>1</v>
      </c>
    </row>
    <row r="358" spans="1:39" s="91" customFormat="1" ht="15.6">
      <c r="A358" s="96" t="s">
        <v>336</v>
      </c>
      <c r="B358" s="83" t="s">
        <v>89</v>
      </c>
      <c r="C358" s="88" t="s">
        <v>536</v>
      </c>
      <c r="D358" s="88" t="s">
        <v>1033</v>
      </c>
      <c r="E358" s="88" t="s">
        <v>430</v>
      </c>
      <c r="F358" s="83" t="s">
        <v>29</v>
      </c>
      <c r="G358" s="83" t="s">
        <v>353</v>
      </c>
      <c r="H358" s="89" t="s">
        <v>36</v>
      </c>
      <c r="I358" s="108">
        <v>29.5</v>
      </c>
      <c r="J358" s="88" t="s">
        <v>368</v>
      </c>
      <c r="K358" s="88" t="s">
        <v>428</v>
      </c>
      <c r="L358" s="38" t="s">
        <v>34</v>
      </c>
      <c r="M358" s="90" t="s">
        <v>1</v>
      </c>
      <c r="N358" s="84">
        <v>165.87</v>
      </c>
      <c r="O358" s="84">
        <v>165.87</v>
      </c>
      <c r="P358" s="84">
        <v>209.51999999999998</v>
      </c>
      <c r="Q358" s="84">
        <v>174.6</v>
      </c>
      <c r="R358" s="84">
        <v>159.03</v>
      </c>
      <c r="S358" s="84">
        <v>209.25</v>
      </c>
      <c r="T358" s="84">
        <v>167.4</v>
      </c>
      <c r="U358" s="84">
        <v>209.25</v>
      </c>
      <c r="V358" s="84">
        <v>159.03</v>
      </c>
      <c r="W358" s="84">
        <v>150.66</v>
      </c>
      <c r="X358" s="84">
        <v>209.25</v>
      </c>
      <c r="Y358" s="84">
        <v>159.03</v>
      </c>
      <c r="Z358" s="123"/>
      <c r="AA358" s="37">
        <f t="shared" si="444"/>
        <v>4893.165</v>
      </c>
      <c r="AB358" s="37">
        <f t="shared" si="445"/>
        <v>4893.165</v>
      </c>
      <c r="AC358" s="37">
        <f t="shared" si="446"/>
        <v>6180.8399999999992</v>
      </c>
      <c r="AD358" s="37">
        <f t="shared" si="447"/>
        <v>5150.7</v>
      </c>
      <c r="AE358" s="37">
        <f t="shared" si="448"/>
        <v>4691.3850000000002</v>
      </c>
      <c r="AF358" s="37">
        <f t="shared" si="449"/>
        <v>6172.875</v>
      </c>
      <c r="AG358" s="37">
        <f t="shared" si="450"/>
        <v>4938.3</v>
      </c>
      <c r="AH358" s="37">
        <f t="shared" si="451"/>
        <v>6172.875</v>
      </c>
      <c r="AI358" s="37">
        <f t="shared" si="452"/>
        <v>4691.3850000000002</v>
      </c>
      <c r="AJ358" s="37">
        <f t="shared" si="453"/>
        <v>4444.47</v>
      </c>
      <c r="AK358" s="37">
        <f t="shared" si="454"/>
        <v>6172.875</v>
      </c>
      <c r="AL358" s="37">
        <f t="shared" si="455"/>
        <v>4691.3850000000002</v>
      </c>
      <c r="AM358" s="120">
        <v>1</v>
      </c>
    </row>
    <row r="359" spans="1:39" s="91" customFormat="1" ht="15.6">
      <c r="A359" s="96" t="s">
        <v>336</v>
      </c>
      <c r="B359" s="83" t="s">
        <v>89</v>
      </c>
      <c r="C359" s="85" t="s">
        <v>537</v>
      </c>
      <c r="D359" s="85" t="s">
        <v>1034</v>
      </c>
      <c r="E359" s="88" t="s">
        <v>431</v>
      </c>
      <c r="F359" s="83" t="s">
        <v>29</v>
      </c>
      <c r="G359" s="83" t="s">
        <v>90</v>
      </c>
      <c r="H359" s="89" t="s">
        <v>60</v>
      </c>
      <c r="I359" s="108">
        <v>19</v>
      </c>
      <c r="J359" s="88" t="s">
        <v>368</v>
      </c>
      <c r="K359" s="88" t="s">
        <v>428</v>
      </c>
      <c r="L359" s="38" t="s">
        <v>34</v>
      </c>
      <c r="M359" s="90" t="s">
        <v>1</v>
      </c>
      <c r="N359" s="36">
        <v>174.6</v>
      </c>
      <c r="O359" s="36">
        <v>165.87</v>
      </c>
      <c r="P359" s="36">
        <v>200.79</v>
      </c>
      <c r="Q359" s="36">
        <v>174.6</v>
      </c>
      <c r="R359" s="36">
        <f>171-18</f>
        <v>153</v>
      </c>
      <c r="S359" s="84">
        <v>209.25</v>
      </c>
      <c r="T359" s="36">
        <v>167.4</v>
      </c>
      <c r="U359" s="36">
        <v>209.25</v>
      </c>
      <c r="V359" s="36">
        <v>159.03</v>
      </c>
      <c r="W359" s="36">
        <v>150.66</v>
      </c>
      <c r="X359" s="36">
        <v>200.88000000000002</v>
      </c>
      <c r="Y359" s="36">
        <v>159.03</v>
      </c>
      <c r="Z359" s="123"/>
      <c r="AA359" s="37">
        <f t="shared" si="444"/>
        <v>3317.4</v>
      </c>
      <c r="AB359" s="37">
        <f t="shared" si="445"/>
        <v>3151.53</v>
      </c>
      <c r="AC359" s="37">
        <f t="shared" si="446"/>
        <v>3815.0099999999998</v>
      </c>
      <c r="AD359" s="37">
        <f t="shared" si="447"/>
        <v>3317.4</v>
      </c>
      <c r="AE359" s="37">
        <f t="shared" si="448"/>
        <v>2907</v>
      </c>
      <c r="AF359" s="37">
        <f t="shared" si="449"/>
        <v>3975.75</v>
      </c>
      <c r="AG359" s="37">
        <f t="shared" si="450"/>
        <v>3180.6</v>
      </c>
      <c r="AH359" s="37">
        <f t="shared" si="451"/>
        <v>3975.75</v>
      </c>
      <c r="AI359" s="37">
        <f t="shared" si="452"/>
        <v>3021.57</v>
      </c>
      <c r="AJ359" s="37">
        <f t="shared" si="453"/>
        <v>2862.54</v>
      </c>
      <c r="AK359" s="37">
        <f t="shared" si="454"/>
        <v>3816.7200000000003</v>
      </c>
      <c r="AL359" s="37">
        <f t="shared" si="455"/>
        <v>3021.57</v>
      </c>
      <c r="AM359" s="120">
        <v>1</v>
      </c>
    </row>
    <row r="360" spans="1:39" s="91" customFormat="1" ht="15.6">
      <c r="A360" s="96" t="s">
        <v>336</v>
      </c>
      <c r="B360" s="83" t="s">
        <v>89</v>
      </c>
      <c r="C360" s="88" t="s">
        <v>589</v>
      </c>
      <c r="D360" s="88" t="s">
        <v>1035</v>
      </c>
      <c r="E360" s="88" t="s">
        <v>576</v>
      </c>
      <c r="F360" s="83" t="s">
        <v>29</v>
      </c>
      <c r="G360" s="83" t="s">
        <v>350</v>
      </c>
      <c r="H360" s="89" t="s">
        <v>44</v>
      </c>
      <c r="I360" s="108">
        <v>17</v>
      </c>
      <c r="J360" s="88" t="s">
        <v>368</v>
      </c>
      <c r="K360" s="88" t="s">
        <v>428</v>
      </c>
      <c r="L360" s="38" t="s">
        <v>34</v>
      </c>
      <c r="M360" s="90" t="s">
        <v>1</v>
      </c>
      <c r="N360" s="84">
        <v>165.87</v>
      </c>
      <c r="O360" s="84">
        <v>165.87</v>
      </c>
      <c r="P360" s="84">
        <v>209.51999999999998</v>
      </c>
      <c r="Q360" s="84">
        <v>174.6</v>
      </c>
      <c r="R360" s="84">
        <v>159.03</v>
      </c>
      <c r="S360" s="84">
        <v>209.25</v>
      </c>
      <c r="T360" s="84">
        <v>167.4</v>
      </c>
      <c r="U360" s="84">
        <v>209.25</v>
      </c>
      <c r="V360" s="84">
        <v>159.03</v>
      </c>
      <c r="W360" s="84">
        <v>150.66</v>
      </c>
      <c r="X360" s="84">
        <v>209.25</v>
      </c>
      <c r="Y360" s="84">
        <v>159.03</v>
      </c>
      <c r="Z360" s="123"/>
      <c r="AA360" s="37">
        <f t="shared" si="444"/>
        <v>2819.79</v>
      </c>
      <c r="AB360" s="37">
        <f t="shared" si="445"/>
        <v>2819.79</v>
      </c>
      <c r="AC360" s="37">
        <f t="shared" si="446"/>
        <v>3561.8399999999997</v>
      </c>
      <c r="AD360" s="37">
        <f t="shared" si="447"/>
        <v>2968.2</v>
      </c>
      <c r="AE360" s="37">
        <f t="shared" si="448"/>
        <v>2703.51</v>
      </c>
      <c r="AF360" s="37">
        <f t="shared" si="449"/>
        <v>3557.25</v>
      </c>
      <c r="AG360" s="37">
        <f t="shared" si="450"/>
        <v>2845.8</v>
      </c>
      <c r="AH360" s="37">
        <f t="shared" si="451"/>
        <v>3557.25</v>
      </c>
      <c r="AI360" s="37">
        <f t="shared" si="452"/>
        <v>2703.51</v>
      </c>
      <c r="AJ360" s="37">
        <f t="shared" si="453"/>
        <v>2561.2199999999998</v>
      </c>
      <c r="AK360" s="37">
        <f t="shared" si="454"/>
        <v>3557.25</v>
      </c>
      <c r="AL360" s="37">
        <f t="shared" si="455"/>
        <v>2703.51</v>
      </c>
      <c r="AM360" s="120">
        <v>1</v>
      </c>
    </row>
    <row r="361" spans="1:39" s="91" customFormat="1" ht="15.6">
      <c r="A361" s="96" t="s">
        <v>336</v>
      </c>
      <c r="B361" s="83" t="s">
        <v>89</v>
      </c>
      <c r="C361" s="88" t="s">
        <v>569</v>
      </c>
      <c r="D361" s="88" t="s">
        <v>1036</v>
      </c>
      <c r="E361" s="128" t="s">
        <v>570</v>
      </c>
      <c r="F361" s="83" t="s">
        <v>29</v>
      </c>
      <c r="G361" s="83" t="s">
        <v>90</v>
      </c>
      <c r="H361" s="89" t="s">
        <v>101</v>
      </c>
      <c r="I361" s="108">
        <v>17</v>
      </c>
      <c r="J361" s="96" t="s">
        <v>368</v>
      </c>
      <c r="K361" s="88" t="s">
        <v>428</v>
      </c>
      <c r="L361" s="38" t="s">
        <v>34</v>
      </c>
      <c r="M361" s="90" t="s">
        <v>1</v>
      </c>
      <c r="N361" s="36">
        <v>174.6</v>
      </c>
      <c r="O361" s="36">
        <v>165.87</v>
      </c>
      <c r="P361" s="36">
        <v>200.79</v>
      </c>
      <c r="Q361" s="36">
        <v>174.6</v>
      </c>
      <c r="R361" s="36">
        <v>159.03</v>
      </c>
      <c r="S361" s="84">
        <f>6*9</f>
        <v>54</v>
      </c>
      <c r="T361" s="36"/>
      <c r="U361" s="36"/>
      <c r="V361" s="36"/>
      <c r="W361" s="36"/>
      <c r="X361" s="36"/>
      <c r="Y361" s="36"/>
      <c r="Z361" s="123" t="s">
        <v>1152</v>
      </c>
      <c r="AA361" s="37">
        <f t="shared" si="444"/>
        <v>2968.2</v>
      </c>
      <c r="AB361" s="37">
        <f t="shared" si="445"/>
        <v>2819.79</v>
      </c>
      <c r="AC361" s="37">
        <f t="shared" si="446"/>
        <v>3413.43</v>
      </c>
      <c r="AD361" s="37">
        <f t="shared" si="447"/>
        <v>2968.2</v>
      </c>
      <c r="AE361" s="37">
        <f t="shared" si="448"/>
        <v>2703.51</v>
      </c>
      <c r="AF361" s="37">
        <f t="shared" si="449"/>
        <v>918</v>
      </c>
      <c r="AG361" s="37">
        <f t="shared" si="450"/>
        <v>0</v>
      </c>
      <c r="AH361" s="37">
        <f t="shared" si="451"/>
        <v>0</v>
      </c>
      <c r="AI361" s="37">
        <f t="shared" si="452"/>
        <v>0</v>
      </c>
      <c r="AJ361" s="37">
        <f t="shared" si="453"/>
        <v>0</v>
      </c>
      <c r="AK361" s="37">
        <f t="shared" si="454"/>
        <v>0</v>
      </c>
      <c r="AL361" s="37">
        <f t="shared" si="455"/>
        <v>0</v>
      </c>
      <c r="AM361" s="103">
        <v>0</v>
      </c>
    </row>
    <row r="362" spans="1:39" s="91" customFormat="1" ht="15.6">
      <c r="A362" s="96" t="s">
        <v>336</v>
      </c>
      <c r="B362" s="83" t="s">
        <v>89</v>
      </c>
      <c r="C362" s="88" t="s">
        <v>1156</v>
      </c>
      <c r="D362" s="88" t="s">
        <v>1155</v>
      </c>
      <c r="E362" s="85" t="s">
        <v>1154</v>
      </c>
      <c r="F362" s="83" t="s">
        <v>29</v>
      </c>
      <c r="G362" s="83" t="s">
        <v>90</v>
      </c>
      <c r="H362" s="89" t="s">
        <v>101</v>
      </c>
      <c r="I362" s="108">
        <v>14</v>
      </c>
      <c r="J362" s="96" t="s">
        <v>368</v>
      </c>
      <c r="K362" s="88" t="s">
        <v>428</v>
      </c>
      <c r="L362" s="38" t="s">
        <v>34</v>
      </c>
      <c r="M362" s="90" t="s">
        <v>1</v>
      </c>
      <c r="N362" s="36"/>
      <c r="O362" s="36"/>
      <c r="P362" s="36"/>
      <c r="Q362" s="36"/>
      <c r="R362" s="36"/>
      <c r="S362" s="84">
        <f>19*9</f>
        <v>171</v>
      </c>
      <c r="T362" s="36">
        <v>167.4</v>
      </c>
      <c r="U362" s="36">
        <v>209.25</v>
      </c>
      <c r="V362" s="36">
        <v>159.03</v>
      </c>
      <c r="W362" s="36">
        <v>150.66</v>
      </c>
      <c r="X362" s="36">
        <v>200.88000000000002</v>
      </c>
      <c r="Y362" s="36">
        <v>159.03</v>
      </c>
      <c r="Z362" s="123" t="s">
        <v>1153</v>
      </c>
      <c r="AA362" s="37">
        <f t="shared" ref="AA362" si="456">$I362*N362</f>
        <v>0</v>
      </c>
      <c r="AB362" s="37">
        <f t="shared" ref="AB362" si="457">$I362*O362</f>
        <v>0</v>
      </c>
      <c r="AC362" s="37">
        <f t="shared" ref="AC362" si="458">$I362*P362</f>
        <v>0</v>
      </c>
      <c r="AD362" s="37">
        <f t="shared" ref="AD362" si="459">$I362*Q362</f>
        <v>0</v>
      </c>
      <c r="AE362" s="37">
        <f t="shared" ref="AE362" si="460">$I362*R362</f>
        <v>0</v>
      </c>
      <c r="AF362" s="37">
        <f t="shared" ref="AF362" si="461">$I362*S362</f>
        <v>2394</v>
      </c>
      <c r="AG362" s="37">
        <f t="shared" ref="AG362" si="462">$I362*T362</f>
        <v>2343.6</v>
      </c>
      <c r="AH362" s="37">
        <f t="shared" ref="AH362" si="463">$I362*U362</f>
        <v>2929.5</v>
      </c>
      <c r="AI362" s="37">
        <f t="shared" ref="AI362" si="464">$I362*V362</f>
        <v>2226.42</v>
      </c>
      <c r="AJ362" s="37">
        <f t="shared" ref="AJ362" si="465">$I362*W362</f>
        <v>2109.2399999999998</v>
      </c>
      <c r="AK362" s="37">
        <f t="shared" ref="AK362" si="466">$I362*X362</f>
        <v>2812.32</v>
      </c>
      <c r="AL362" s="37">
        <f t="shared" ref="AL362" si="467">$I362*Y362</f>
        <v>2226.42</v>
      </c>
      <c r="AM362" s="103">
        <v>1</v>
      </c>
    </row>
    <row r="363" spans="1:39" s="91" customFormat="1" ht="15.6">
      <c r="A363" s="96" t="s">
        <v>336</v>
      </c>
      <c r="B363" s="83" t="s">
        <v>89</v>
      </c>
      <c r="C363" s="88" t="s">
        <v>635</v>
      </c>
      <c r="D363" s="88" t="s">
        <v>1037</v>
      </c>
      <c r="E363" s="85" t="s">
        <v>636</v>
      </c>
      <c r="F363" s="83" t="s">
        <v>29</v>
      </c>
      <c r="G363" s="83" t="s">
        <v>90</v>
      </c>
      <c r="H363" s="89" t="s">
        <v>101</v>
      </c>
      <c r="I363" s="108">
        <v>14</v>
      </c>
      <c r="J363" s="88" t="s">
        <v>368</v>
      </c>
      <c r="K363" s="88" t="s">
        <v>428</v>
      </c>
      <c r="L363" s="38" t="s">
        <v>34</v>
      </c>
      <c r="M363" s="90" t="s">
        <v>1</v>
      </c>
      <c r="N363" s="36">
        <v>174.6</v>
      </c>
      <c r="O363" s="36">
        <v>165.87</v>
      </c>
      <c r="P363" s="36">
        <v>200.79</v>
      </c>
      <c r="Q363" s="36">
        <v>174.6</v>
      </c>
      <c r="R363" s="36">
        <v>159.03</v>
      </c>
      <c r="S363" s="84">
        <v>209.25</v>
      </c>
      <c r="T363" s="36">
        <v>167.4</v>
      </c>
      <c r="U363" s="36">
        <v>209.25</v>
      </c>
      <c r="V363" s="36">
        <v>159.03</v>
      </c>
      <c r="W363" s="36">
        <v>150.66</v>
      </c>
      <c r="X363" s="36">
        <v>200.88000000000002</v>
      </c>
      <c r="Y363" s="36">
        <v>159.03</v>
      </c>
      <c r="Z363" s="127"/>
      <c r="AA363" s="37">
        <f t="shared" si="444"/>
        <v>2444.4</v>
      </c>
      <c r="AB363" s="37">
        <f t="shared" si="445"/>
        <v>2322.1800000000003</v>
      </c>
      <c r="AC363" s="37">
        <f t="shared" si="446"/>
        <v>2811.06</v>
      </c>
      <c r="AD363" s="37">
        <f t="shared" si="447"/>
        <v>2444.4</v>
      </c>
      <c r="AE363" s="37">
        <f t="shared" si="448"/>
        <v>2226.42</v>
      </c>
      <c r="AF363" s="37">
        <f t="shared" si="449"/>
        <v>2929.5</v>
      </c>
      <c r="AG363" s="37">
        <f t="shared" si="450"/>
        <v>2343.6</v>
      </c>
      <c r="AH363" s="37">
        <f t="shared" si="451"/>
        <v>2929.5</v>
      </c>
      <c r="AI363" s="37">
        <f t="shared" si="452"/>
        <v>2226.42</v>
      </c>
      <c r="AJ363" s="37">
        <f t="shared" si="453"/>
        <v>2109.2399999999998</v>
      </c>
      <c r="AK363" s="37">
        <f t="shared" si="454"/>
        <v>2812.32</v>
      </c>
      <c r="AL363" s="37">
        <f t="shared" si="455"/>
        <v>2226.42</v>
      </c>
      <c r="AM363" s="120">
        <v>1</v>
      </c>
    </row>
    <row r="364" spans="1:39" s="91" customFormat="1" ht="15.6">
      <c r="A364" s="96" t="s">
        <v>336</v>
      </c>
      <c r="B364" s="83" t="s">
        <v>89</v>
      </c>
      <c r="C364" s="88" t="s">
        <v>539</v>
      </c>
      <c r="D364" s="88" t="s">
        <v>1038</v>
      </c>
      <c r="E364" s="85" t="s">
        <v>433</v>
      </c>
      <c r="F364" s="83" t="s">
        <v>29</v>
      </c>
      <c r="G364" s="83" t="s">
        <v>30</v>
      </c>
      <c r="H364" s="89" t="s">
        <v>60</v>
      </c>
      <c r="I364" s="108">
        <v>19</v>
      </c>
      <c r="J364" s="88" t="s">
        <v>368</v>
      </c>
      <c r="K364" s="88" t="s">
        <v>434</v>
      </c>
      <c r="L364" s="38" t="s">
        <v>34</v>
      </c>
      <c r="M364" s="90" t="s">
        <v>1</v>
      </c>
      <c r="N364" s="84">
        <v>165.87</v>
      </c>
      <c r="O364" s="84">
        <v>165.87</v>
      </c>
      <c r="P364" s="84">
        <v>209.51999999999998</v>
      </c>
      <c r="Q364" s="84">
        <v>165.87</v>
      </c>
      <c r="R364" s="84">
        <v>159.03</v>
      </c>
      <c r="S364" s="84">
        <v>209.25</v>
      </c>
      <c r="T364" s="84">
        <v>167.4</v>
      </c>
      <c r="U364" s="84">
        <v>209.25</v>
      </c>
      <c r="V364" s="84">
        <v>159.03</v>
      </c>
      <c r="W364" s="84">
        <v>150.66</v>
      </c>
      <c r="X364" s="84">
        <v>209.25</v>
      </c>
      <c r="Y364" s="84">
        <v>159.03</v>
      </c>
      <c r="Z364" s="123"/>
      <c r="AA364" s="37">
        <f t="shared" si="444"/>
        <v>3151.53</v>
      </c>
      <c r="AB364" s="37">
        <f t="shared" si="445"/>
        <v>3151.53</v>
      </c>
      <c r="AC364" s="37">
        <f t="shared" si="446"/>
        <v>3980.8799999999997</v>
      </c>
      <c r="AD364" s="37">
        <f t="shared" si="447"/>
        <v>3151.53</v>
      </c>
      <c r="AE364" s="37">
        <f t="shared" si="448"/>
        <v>3021.57</v>
      </c>
      <c r="AF364" s="37">
        <f t="shared" si="449"/>
        <v>3975.75</v>
      </c>
      <c r="AG364" s="37">
        <f t="shared" si="450"/>
        <v>3180.6</v>
      </c>
      <c r="AH364" s="37">
        <f t="shared" si="451"/>
        <v>3975.75</v>
      </c>
      <c r="AI364" s="37">
        <f t="shared" si="452"/>
        <v>3021.57</v>
      </c>
      <c r="AJ364" s="37">
        <f t="shared" si="453"/>
        <v>2862.54</v>
      </c>
      <c r="AK364" s="37">
        <f t="shared" si="454"/>
        <v>3975.75</v>
      </c>
      <c r="AL364" s="37">
        <f t="shared" si="455"/>
        <v>3021.57</v>
      </c>
      <c r="AM364" s="120">
        <v>1</v>
      </c>
    </row>
    <row r="365" spans="1:39" s="91" customFormat="1" ht="15.6">
      <c r="A365" s="96" t="s">
        <v>336</v>
      </c>
      <c r="B365" s="83" t="s">
        <v>89</v>
      </c>
      <c r="C365" s="88" t="s">
        <v>540</v>
      </c>
      <c r="D365" s="88" t="s">
        <v>1039</v>
      </c>
      <c r="E365" s="88" t="s">
        <v>435</v>
      </c>
      <c r="F365" s="83" t="s">
        <v>29</v>
      </c>
      <c r="G365" s="83" t="s">
        <v>350</v>
      </c>
      <c r="H365" s="89" t="s">
        <v>44</v>
      </c>
      <c r="I365" s="108">
        <v>17</v>
      </c>
      <c r="J365" s="88" t="s">
        <v>368</v>
      </c>
      <c r="K365" s="88" t="s">
        <v>434</v>
      </c>
      <c r="L365" s="38" t="s">
        <v>34</v>
      </c>
      <c r="M365" s="90" t="s">
        <v>1</v>
      </c>
      <c r="N365" s="84">
        <v>165.87</v>
      </c>
      <c r="O365" s="84">
        <v>165.87</v>
      </c>
      <c r="P365" s="84">
        <v>209.51999999999998</v>
      </c>
      <c r="Q365" s="84">
        <v>174.6</v>
      </c>
      <c r="R365" s="36">
        <v>159.03</v>
      </c>
      <c r="S365" s="84">
        <f>225-18-18</f>
        <v>189</v>
      </c>
      <c r="T365" s="84">
        <v>167.4</v>
      </c>
      <c r="U365" s="84">
        <v>209.25</v>
      </c>
      <c r="V365" s="84">
        <v>159.03</v>
      </c>
      <c r="W365" s="84">
        <v>150.66</v>
      </c>
      <c r="X365" s="84">
        <v>209.25</v>
      </c>
      <c r="Y365" s="84">
        <v>159.03</v>
      </c>
      <c r="Z365" s="88"/>
      <c r="AA365" s="37">
        <f t="shared" si="444"/>
        <v>2819.79</v>
      </c>
      <c r="AB365" s="37">
        <f t="shared" si="445"/>
        <v>2819.79</v>
      </c>
      <c r="AC365" s="37">
        <f t="shared" si="446"/>
        <v>3561.8399999999997</v>
      </c>
      <c r="AD365" s="37">
        <f t="shared" si="447"/>
        <v>2968.2</v>
      </c>
      <c r="AE365" s="37">
        <f t="shared" si="448"/>
        <v>2703.51</v>
      </c>
      <c r="AF365" s="37">
        <f t="shared" si="449"/>
        <v>3213</v>
      </c>
      <c r="AG365" s="37">
        <f t="shared" si="450"/>
        <v>2845.8</v>
      </c>
      <c r="AH365" s="37">
        <f t="shared" si="451"/>
        <v>3557.25</v>
      </c>
      <c r="AI365" s="37">
        <f t="shared" si="452"/>
        <v>2703.51</v>
      </c>
      <c r="AJ365" s="37">
        <f t="shared" si="453"/>
        <v>2561.2199999999998</v>
      </c>
      <c r="AK365" s="37">
        <f t="shared" si="454"/>
        <v>3557.25</v>
      </c>
      <c r="AL365" s="37">
        <f t="shared" si="455"/>
        <v>2703.51</v>
      </c>
      <c r="AM365" s="120">
        <v>1</v>
      </c>
    </row>
    <row r="366" spans="1:39" s="91" customFormat="1" ht="15.6">
      <c r="A366" s="96" t="s">
        <v>336</v>
      </c>
      <c r="B366" s="83" t="s">
        <v>89</v>
      </c>
      <c r="C366" s="88" t="s">
        <v>541</v>
      </c>
      <c r="D366" s="88" t="s">
        <v>1040</v>
      </c>
      <c r="E366" s="38" t="s">
        <v>436</v>
      </c>
      <c r="F366" s="83" t="s">
        <v>29</v>
      </c>
      <c r="G366" s="83" t="s">
        <v>90</v>
      </c>
      <c r="H366" s="89" t="s">
        <v>60</v>
      </c>
      <c r="I366" s="108">
        <v>19</v>
      </c>
      <c r="J366" s="88" t="s">
        <v>368</v>
      </c>
      <c r="K366" s="88" t="s">
        <v>434</v>
      </c>
      <c r="L366" s="38" t="s">
        <v>34</v>
      </c>
      <c r="M366" s="90" t="s">
        <v>1</v>
      </c>
      <c r="N366" s="36">
        <v>174.6</v>
      </c>
      <c r="O366" s="36">
        <v>165.87</v>
      </c>
      <c r="P366" s="36">
        <v>200.79</v>
      </c>
      <c r="Q366" s="36">
        <v>174.6</v>
      </c>
      <c r="R366" s="36">
        <v>159.03</v>
      </c>
      <c r="S366" s="84">
        <v>209.25</v>
      </c>
      <c r="T366" s="36">
        <v>167.4</v>
      </c>
      <c r="U366" s="36">
        <v>209.25</v>
      </c>
      <c r="V366" s="36">
        <v>159.03</v>
      </c>
      <c r="W366" s="36">
        <v>150.66</v>
      </c>
      <c r="X366" s="36">
        <v>200.88000000000002</v>
      </c>
      <c r="Y366" s="36">
        <v>159.03</v>
      </c>
      <c r="Z366" s="123"/>
      <c r="AA366" s="37">
        <f t="shared" si="444"/>
        <v>3317.4</v>
      </c>
      <c r="AB366" s="37">
        <f t="shared" si="445"/>
        <v>3151.53</v>
      </c>
      <c r="AC366" s="37">
        <f t="shared" si="446"/>
        <v>3815.0099999999998</v>
      </c>
      <c r="AD366" s="37">
        <f t="shared" si="447"/>
        <v>3317.4</v>
      </c>
      <c r="AE366" s="37">
        <f t="shared" si="448"/>
        <v>3021.57</v>
      </c>
      <c r="AF366" s="37">
        <f t="shared" si="449"/>
        <v>3975.75</v>
      </c>
      <c r="AG366" s="37">
        <f t="shared" si="450"/>
        <v>3180.6</v>
      </c>
      <c r="AH366" s="37">
        <f t="shared" si="451"/>
        <v>3975.75</v>
      </c>
      <c r="AI366" s="37">
        <f t="shared" si="452"/>
        <v>3021.57</v>
      </c>
      <c r="AJ366" s="37">
        <f t="shared" si="453"/>
        <v>2862.54</v>
      </c>
      <c r="AK366" s="37">
        <f t="shared" si="454"/>
        <v>3816.7200000000003</v>
      </c>
      <c r="AL366" s="37">
        <f t="shared" si="455"/>
        <v>3021.57</v>
      </c>
      <c r="AM366" s="120">
        <v>1</v>
      </c>
    </row>
    <row r="367" spans="1:39" s="91" customFormat="1" ht="15.6">
      <c r="A367" s="96" t="s">
        <v>336</v>
      </c>
      <c r="B367" s="83" t="s">
        <v>89</v>
      </c>
      <c r="C367" s="88" t="s">
        <v>609</v>
      </c>
      <c r="D367" s="88" t="s">
        <v>1041</v>
      </c>
      <c r="E367" s="126" t="s">
        <v>604</v>
      </c>
      <c r="F367" s="83" t="s">
        <v>29</v>
      </c>
      <c r="G367" s="83" t="s">
        <v>90</v>
      </c>
      <c r="H367" s="89" t="s">
        <v>31</v>
      </c>
      <c r="I367" s="108">
        <v>37</v>
      </c>
      <c r="J367" s="88" t="s">
        <v>125</v>
      </c>
      <c r="K367" s="125" t="s">
        <v>619</v>
      </c>
      <c r="L367" s="38" t="s">
        <v>34</v>
      </c>
      <c r="M367" s="90" t="s">
        <v>1</v>
      </c>
      <c r="N367" s="36">
        <v>174.6</v>
      </c>
      <c r="O367" s="36">
        <v>165.87</v>
      </c>
      <c r="P367" s="36">
        <v>200.79</v>
      </c>
      <c r="Q367" s="36">
        <v>174.6</v>
      </c>
      <c r="R367" s="36">
        <f>10*9</f>
        <v>90</v>
      </c>
      <c r="S367" s="36"/>
      <c r="T367" s="36"/>
      <c r="U367" s="36"/>
      <c r="V367" s="36"/>
      <c r="W367" s="36"/>
      <c r="X367" s="36"/>
      <c r="Y367" s="36"/>
      <c r="Z367" s="123" t="s">
        <v>1163</v>
      </c>
      <c r="AA367" s="37">
        <f t="shared" si="444"/>
        <v>6460.2</v>
      </c>
      <c r="AB367" s="37">
        <f t="shared" si="445"/>
        <v>6137.1900000000005</v>
      </c>
      <c r="AC367" s="37">
        <f t="shared" si="446"/>
        <v>7429.23</v>
      </c>
      <c r="AD367" s="37">
        <f t="shared" si="447"/>
        <v>6460.2</v>
      </c>
      <c r="AE367" s="37">
        <f t="shared" si="448"/>
        <v>3330</v>
      </c>
      <c r="AF367" s="37">
        <f t="shared" si="449"/>
        <v>0</v>
      </c>
      <c r="AG367" s="37">
        <f t="shared" si="450"/>
        <v>0</v>
      </c>
      <c r="AH367" s="37">
        <f t="shared" si="451"/>
        <v>0</v>
      </c>
      <c r="AI367" s="37">
        <f t="shared" si="452"/>
        <v>0</v>
      </c>
      <c r="AJ367" s="37">
        <f t="shared" si="453"/>
        <v>0</v>
      </c>
      <c r="AK367" s="37">
        <f t="shared" si="454"/>
        <v>0</v>
      </c>
      <c r="AL367" s="37">
        <f t="shared" si="455"/>
        <v>0</v>
      </c>
      <c r="AM367" s="120">
        <v>0</v>
      </c>
    </row>
    <row r="368" spans="1:39" s="91" customFormat="1" ht="15.6">
      <c r="A368" s="96" t="s">
        <v>336</v>
      </c>
      <c r="B368" s="83" t="s">
        <v>89</v>
      </c>
      <c r="C368" s="88" t="s">
        <v>612</v>
      </c>
      <c r="D368" s="88" t="s">
        <v>1042</v>
      </c>
      <c r="E368" s="38" t="s">
        <v>607</v>
      </c>
      <c r="F368" s="83" t="s">
        <v>29</v>
      </c>
      <c r="G368" s="83" t="s">
        <v>380</v>
      </c>
      <c r="H368" s="89" t="s">
        <v>31</v>
      </c>
      <c r="I368" s="108">
        <v>30.5</v>
      </c>
      <c r="J368" s="88" t="s">
        <v>125</v>
      </c>
      <c r="K368" s="125" t="s">
        <v>619</v>
      </c>
      <c r="L368" s="38" t="s">
        <v>34</v>
      </c>
      <c r="M368" s="90" t="s">
        <v>1</v>
      </c>
      <c r="N368" s="84">
        <v>165.87</v>
      </c>
      <c r="O368" s="84">
        <v>165.87</v>
      </c>
      <c r="P368" s="84">
        <v>209.51999999999998</v>
      </c>
      <c r="Q368" s="84">
        <v>174.6</v>
      </c>
      <c r="R368" s="84">
        <v>159.03</v>
      </c>
      <c r="S368" s="84">
        <v>209.25</v>
      </c>
      <c r="T368" s="84">
        <v>167.4</v>
      </c>
      <c r="U368" s="84">
        <v>209.25</v>
      </c>
      <c r="V368" s="84">
        <v>159.03</v>
      </c>
      <c r="W368" s="84">
        <v>150.66</v>
      </c>
      <c r="X368" s="84">
        <v>209.25</v>
      </c>
      <c r="Y368" s="84">
        <v>159.03</v>
      </c>
      <c r="Z368" s="123"/>
      <c r="AA368" s="37">
        <f t="shared" si="444"/>
        <v>5059.0349999999999</v>
      </c>
      <c r="AB368" s="37">
        <f t="shared" si="445"/>
        <v>5059.0349999999999</v>
      </c>
      <c r="AC368" s="37">
        <f t="shared" si="446"/>
        <v>6390.36</v>
      </c>
      <c r="AD368" s="37">
        <f t="shared" si="447"/>
        <v>5325.3</v>
      </c>
      <c r="AE368" s="37">
        <f t="shared" si="448"/>
        <v>4850.415</v>
      </c>
      <c r="AF368" s="37">
        <f t="shared" si="449"/>
        <v>6382.125</v>
      </c>
      <c r="AG368" s="37">
        <f t="shared" si="450"/>
        <v>5105.7</v>
      </c>
      <c r="AH368" s="37">
        <f t="shared" si="451"/>
        <v>6382.125</v>
      </c>
      <c r="AI368" s="37">
        <f t="shared" si="452"/>
        <v>4850.415</v>
      </c>
      <c r="AJ368" s="37">
        <f t="shared" si="453"/>
        <v>4595.13</v>
      </c>
      <c r="AK368" s="37">
        <f t="shared" si="454"/>
        <v>6382.125</v>
      </c>
      <c r="AL368" s="37">
        <f t="shared" si="455"/>
        <v>4850.415</v>
      </c>
      <c r="AM368" s="120">
        <v>1</v>
      </c>
    </row>
    <row r="369" spans="1:39" s="91" customFormat="1" ht="15.6">
      <c r="A369" s="96" t="s">
        <v>336</v>
      </c>
      <c r="B369" s="83" t="s">
        <v>89</v>
      </c>
      <c r="C369" s="129" t="s">
        <v>613</v>
      </c>
      <c r="D369" s="129" t="s">
        <v>787</v>
      </c>
      <c r="E369" s="38" t="s">
        <v>608</v>
      </c>
      <c r="F369" s="83" t="s">
        <v>29</v>
      </c>
      <c r="G369" s="83" t="s">
        <v>30</v>
      </c>
      <c r="H369" s="89" t="s">
        <v>31</v>
      </c>
      <c r="I369" s="108">
        <v>37</v>
      </c>
      <c r="J369" s="88" t="s">
        <v>125</v>
      </c>
      <c r="K369" s="125" t="s">
        <v>619</v>
      </c>
      <c r="L369" s="38" t="s">
        <v>34</v>
      </c>
      <c r="M369" s="90" t="s">
        <v>1</v>
      </c>
      <c r="N369" s="84">
        <v>165.87</v>
      </c>
      <c r="O369" s="84">
        <v>165.87</v>
      </c>
      <c r="P369" s="84">
        <v>209.51999999999998</v>
      </c>
      <c r="Q369" s="84">
        <v>165.87</v>
      </c>
      <c r="R369" s="84">
        <v>159.03</v>
      </c>
      <c r="S369" s="84">
        <v>209.25</v>
      </c>
      <c r="T369" s="84">
        <v>167.4</v>
      </c>
      <c r="U369" s="84">
        <v>209.25</v>
      </c>
      <c r="V369" s="84">
        <v>159.03</v>
      </c>
      <c r="W369" s="84">
        <v>150.66</v>
      </c>
      <c r="X369" s="84">
        <v>209.25</v>
      </c>
      <c r="Y369" s="84">
        <v>159.03</v>
      </c>
      <c r="Z369" s="123"/>
      <c r="AA369" s="37">
        <f t="shared" si="444"/>
        <v>6137.1900000000005</v>
      </c>
      <c r="AB369" s="37">
        <f t="shared" si="445"/>
        <v>6137.1900000000005</v>
      </c>
      <c r="AC369" s="37">
        <f t="shared" si="446"/>
        <v>7752.24</v>
      </c>
      <c r="AD369" s="37">
        <f t="shared" si="447"/>
        <v>6137.1900000000005</v>
      </c>
      <c r="AE369" s="37">
        <f t="shared" si="448"/>
        <v>5884.11</v>
      </c>
      <c r="AF369" s="37">
        <f t="shared" si="449"/>
        <v>7742.25</v>
      </c>
      <c r="AG369" s="37">
        <f t="shared" si="450"/>
        <v>6193.8</v>
      </c>
      <c r="AH369" s="37">
        <f t="shared" si="451"/>
        <v>7742.25</v>
      </c>
      <c r="AI369" s="37">
        <f t="shared" si="452"/>
        <v>5884.11</v>
      </c>
      <c r="AJ369" s="37">
        <f t="shared" si="453"/>
        <v>5574.42</v>
      </c>
      <c r="AK369" s="37">
        <f t="shared" si="454"/>
        <v>7742.25</v>
      </c>
      <c r="AL369" s="37">
        <f t="shared" si="455"/>
        <v>5884.11</v>
      </c>
      <c r="AM369" s="120">
        <v>1</v>
      </c>
    </row>
    <row r="370" spans="1:39" s="91" customFormat="1" ht="15.6">
      <c r="A370" s="96" t="s">
        <v>336</v>
      </c>
      <c r="B370" s="83" t="s">
        <v>89</v>
      </c>
      <c r="C370" s="129">
        <v>261490</v>
      </c>
      <c r="D370" s="129" t="s">
        <v>1043</v>
      </c>
      <c r="E370" s="128" t="s">
        <v>614</v>
      </c>
      <c r="F370" s="83" t="s">
        <v>29</v>
      </c>
      <c r="G370" s="83" t="s">
        <v>380</v>
      </c>
      <c r="H370" s="89" t="s">
        <v>31</v>
      </c>
      <c r="I370" s="108">
        <v>37</v>
      </c>
      <c r="J370" s="88" t="s">
        <v>125</v>
      </c>
      <c r="K370" s="125" t="s">
        <v>619</v>
      </c>
      <c r="L370" s="38" t="s">
        <v>34</v>
      </c>
      <c r="M370" s="90" t="s">
        <v>1</v>
      </c>
      <c r="N370" s="84">
        <v>40</v>
      </c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123" t="s">
        <v>729</v>
      </c>
      <c r="AA370" s="37">
        <f t="shared" si="444"/>
        <v>1480</v>
      </c>
      <c r="AB370" s="37">
        <f t="shared" si="445"/>
        <v>0</v>
      </c>
      <c r="AC370" s="37">
        <f t="shared" si="446"/>
        <v>0</v>
      </c>
      <c r="AD370" s="37">
        <f t="shared" si="447"/>
        <v>0</v>
      </c>
      <c r="AE370" s="37">
        <f t="shared" si="448"/>
        <v>0</v>
      </c>
      <c r="AF370" s="37">
        <f t="shared" si="449"/>
        <v>0</v>
      </c>
      <c r="AG370" s="37">
        <f t="shared" si="450"/>
        <v>0</v>
      </c>
      <c r="AH370" s="37">
        <f t="shared" si="451"/>
        <v>0</v>
      </c>
      <c r="AI370" s="37">
        <f t="shared" si="452"/>
        <v>0</v>
      </c>
      <c r="AJ370" s="37">
        <f t="shared" si="453"/>
        <v>0</v>
      </c>
      <c r="AK370" s="37">
        <f t="shared" si="454"/>
        <v>0</v>
      </c>
      <c r="AL370" s="37">
        <f t="shared" si="455"/>
        <v>0</v>
      </c>
      <c r="AM370" s="120">
        <v>0</v>
      </c>
    </row>
    <row r="371" spans="1:39" s="91" customFormat="1" ht="15.6">
      <c r="A371" s="96" t="s">
        <v>336</v>
      </c>
      <c r="B371" s="83" t="s">
        <v>89</v>
      </c>
      <c r="C371" s="129" t="s">
        <v>727</v>
      </c>
      <c r="D371" s="129" t="s">
        <v>1044</v>
      </c>
      <c r="E371" s="38" t="s">
        <v>726</v>
      </c>
      <c r="F371" s="83" t="s">
        <v>29</v>
      </c>
      <c r="G371" s="83" t="s">
        <v>90</v>
      </c>
      <c r="H371" s="89" t="s">
        <v>31</v>
      </c>
      <c r="I371" s="108">
        <v>30.5</v>
      </c>
      <c r="J371" s="88" t="s">
        <v>125</v>
      </c>
      <c r="K371" s="125" t="s">
        <v>619</v>
      </c>
      <c r="L371" s="38" t="s">
        <v>34</v>
      </c>
      <c r="M371" s="90" t="s">
        <v>3</v>
      </c>
      <c r="N371" s="84">
        <v>166.84</v>
      </c>
      <c r="O371" s="84">
        <v>166.84</v>
      </c>
      <c r="P371" s="84">
        <v>210.48999999999998</v>
      </c>
      <c r="Q371" s="84">
        <v>166.84</v>
      </c>
      <c r="R371" s="36">
        <v>159.96</v>
      </c>
      <c r="S371" s="84">
        <v>209.25</v>
      </c>
      <c r="T371" s="84">
        <v>167.4</v>
      </c>
      <c r="U371" s="84">
        <v>209.25</v>
      </c>
      <c r="V371" s="84">
        <v>159.96</v>
      </c>
      <c r="W371" s="84">
        <v>152.52000000000001</v>
      </c>
      <c r="X371" s="84">
        <v>201.81</v>
      </c>
      <c r="Y371" s="84">
        <v>159.96</v>
      </c>
      <c r="Z371" s="123" t="s">
        <v>728</v>
      </c>
      <c r="AA371" s="37">
        <f t="shared" si="444"/>
        <v>5088.62</v>
      </c>
      <c r="AB371" s="37">
        <f t="shared" si="445"/>
        <v>5088.62</v>
      </c>
      <c r="AC371" s="37">
        <f t="shared" si="446"/>
        <v>6419.9449999999997</v>
      </c>
      <c r="AD371" s="37">
        <f t="shared" si="447"/>
        <v>5088.62</v>
      </c>
      <c r="AE371" s="37">
        <f t="shared" si="448"/>
        <v>4878.7800000000007</v>
      </c>
      <c r="AF371" s="37">
        <f t="shared" si="449"/>
        <v>6382.125</v>
      </c>
      <c r="AG371" s="37">
        <f t="shared" si="450"/>
        <v>5105.7</v>
      </c>
      <c r="AH371" s="37">
        <f t="shared" si="451"/>
        <v>6382.125</v>
      </c>
      <c r="AI371" s="37">
        <f t="shared" si="452"/>
        <v>4878.7800000000007</v>
      </c>
      <c r="AJ371" s="37">
        <f t="shared" si="453"/>
        <v>4651.8600000000006</v>
      </c>
      <c r="AK371" s="37">
        <f t="shared" si="454"/>
        <v>6155.2049999999999</v>
      </c>
      <c r="AL371" s="37">
        <f t="shared" si="455"/>
        <v>4878.7800000000007</v>
      </c>
      <c r="AM371" s="120">
        <v>1</v>
      </c>
    </row>
    <row r="372" spans="1:39" s="91" customFormat="1" ht="15.6">
      <c r="A372" s="96" t="s">
        <v>336</v>
      </c>
      <c r="B372" s="83" t="s">
        <v>89</v>
      </c>
      <c r="C372" s="129" t="s">
        <v>733</v>
      </c>
      <c r="D372" s="129" t="s">
        <v>1045</v>
      </c>
      <c r="E372" s="38" t="s">
        <v>634</v>
      </c>
      <c r="F372" s="83" t="s">
        <v>29</v>
      </c>
      <c r="G372" s="83" t="s">
        <v>297</v>
      </c>
      <c r="H372" s="89" t="s">
        <v>31</v>
      </c>
      <c r="I372" s="108">
        <v>30.5</v>
      </c>
      <c r="J372" s="88" t="s">
        <v>125</v>
      </c>
      <c r="K372" s="125" t="s">
        <v>619</v>
      </c>
      <c r="L372" s="38" t="s">
        <v>34</v>
      </c>
      <c r="M372" s="90" t="s">
        <v>1</v>
      </c>
      <c r="N372" s="36">
        <v>174.6</v>
      </c>
      <c r="O372" s="36">
        <v>165.87</v>
      </c>
      <c r="P372" s="36">
        <v>200.79</v>
      </c>
      <c r="Q372" s="36">
        <v>174.6</v>
      </c>
      <c r="R372" s="36">
        <v>159.03</v>
      </c>
      <c r="S372" s="84">
        <v>209.25</v>
      </c>
      <c r="T372" s="36">
        <v>167.4</v>
      </c>
      <c r="U372" s="36">
        <v>209.25</v>
      </c>
      <c r="V372" s="36">
        <v>159.03</v>
      </c>
      <c r="W372" s="36">
        <v>150.66</v>
      </c>
      <c r="X372" s="36">
        <v>200.88000000000002</v>
      </c>
      <c r="Y372" s="36">
        <v>159.03</v>
      </c>
      <c r="Z372" s="123"/>
      <c r="AA372" s="37">
        <f t="shared" si="444"/>
        <v>5325.3</v>
      </c>
      <c r="AB372" s="37">
        <f t="shared" si="445"/>
        <v>5059.0349999999999</v>
      </c>
      <c r="AC372" s="37">
        <f t="shared" si="446"/>
        <v>6124.0949999999993</v>
      </c>
      <c r="AD372" s="37">
        <f t="shared" si="447"/>
        <v>5325.3</v>
      </c>
      <c r="AE372" s="37">
        <f t="shared" si="448"/>
        <v>4850.415</v>
      </c>
      <c r="AF372" s="37">
        <f t="shared" si="449"/>
        <v>6382.125</v>
      </c>
      <c r="AG372" s="37">
        <f t="shared" si="450"/>
        <v>5105.7</v>
      </c>
      <c r="AH372" s="37">
        <f t="shared" si="451"/>
        <v>6382.125</v>
      </c>
      <c r="AI372" s="37">
        <f t="shared" si="452"/>
        <v>4850.415</v>
      </c>
      <c r="AJ372" s="37">
        <f t="shared" si="453"/>
        <v>4595.13</v>
      </c>
      <c r="AK372" s="37">
        <f t="shared" si="454"/>
        <v>6126.8400000000011</v>
      </c>
      <c r="AL372" s="37">
        <f t="shared" si="455"/>
        <v>4850.415</v>
      </c>
      <c r="AM372" s="120">
        <v>1</v>
      </c>
    </row>
    <row r="373" spans="1:39" s="91" customFormat="1" ht="15.6">
      <c r="A373" s="96" t="s">
        <v>336</v>
      </c>
      <c r="B373" s="83" t="s">
        <v>89</v>
      </c>
      <c r="C373" s="88" t="s">
        <v>610</v>
      </c>
      <c r="D373" s="88" t="s">
        <v>1046</v>
      </c>
      <c r="E373" s="38" t="s">
        <v>605</v>
      </c>
      <c r="F373" s="83" t="s">
        <v>29</v>
      </c>
      <c r="G373" s="83" t="s">
        <v>30</v>
      </c>
      <c r="H373" s="89" t="s">
        <v>60</v>
      </c>
      <c r="I373" s="108">
        <v>19</v>
      </c>
      <c r="J373" s="88" t="s">
        <v>125</v>
      </c>
      <c r="K373" s="125" t="s">
        <v>619</v>
      </c>
      <c r="L373" s="38" t="s">
        <v>34</v>
      </c>
      <c r="M373" s="90" t="s">
        <v>1</v>
      </c>
      <c r="N373" s="84">
        <v>165.87</v>
      </c>
      <c r="O373" s="84">
        <v>165.87</v>
      </c>
      <c r="P373" s="84">
        <v>209.51999999999998</v>
      </c>
      <c r="Q373" s="84">
        <v>165.87</v>
      </c>
      <c r="R373" s="84">
        <v>159.03</v>
      </c>
      <c r="S373" s="84">
        <v>209.25</v>
      </c>
      <c r="T373" s="84">
        <v>167.4</v>
      </c>
      <c r="U373" s="84">
        <v>209.25</v>
      </c>
      <c r="V373" s="84">
        <v>159.03</v>
      </c>
      <c r="W373" s="84">
        <v>150.66</v>
      </c>
      <c r="X373" s="84">
        <v>209.25</v>
      </c>
      <c r="Y373" s="84">
        <v>159.03</v>
      </c>
      <c r="Z373" s="123"/>
      <c r="AA373" s="37">
        <f t="shared" si="444"/>
        <v>3151.53</v>
      </c>
      <c r="AB373" s="37">
        <f t="shared" si="445"/>
        <v>3151.53</v>
      </c>
      <c r="AC373" s="37">
        <f t="shared" si="446"/>
        <v>3980.8799999999997</v>
      </c>
      <c r="AD373" s="37">
        <f t="shared" si="447"/>
        <v>3151.53</v>
      </c>
      <c r="AE373" s="37">
        <f t="shared" si="448"/>
        <v>3021.57</v>
      </c>
      <c r="AF373" s="37">
        <f t="shared" si="449"/>
        <v>3975.75</v>
      </c>
      <c r="AG373" s="37">
        <f t="shared" si="450"/>
        <v>3180.6</v>
      </c>
      <c r="AH373" s="37">
        <f t="shared" si="451"/>
        <v>3975.75</v>
      </c>
      <c r="AI373" s="37">
        <f t="shared" si="452"/>
        <v>3021.57</v>
      </c>
      <c r="AJ373" s="37">
        <f t="shared" si="453"/>
        <v>2862.54</v>
      </c>
      <c r="AK373" s="37">
        <f t="shared" si="454"/>
        <v>3975.75</v>
      </c>
      <c r="AL373" s="37">
        <f t="shared" si="455"/>
        <v>3021.57</v>
      </c>
      <c r="AM373" s="120">
        <v>1</v>
      </c>
    </row>
    <row r="374" spans="1:39" s="91" customFormat="1" ht="15.6">
      <c r="A374" s="96" t="s">
        <v>336</v>
      </c>
      <c r="B374" s="83" t="s">
        <v>89</v>
      </c>
      <c r="C374" s="88" t="s">
        <v>611</v>
      </c>
      <c r="D374" s="88" t="s">
        <v>1047</v>
      </c>
      <c r="E374" s="38" t="s">
        <v>606</v>
      </c>
      <c r="F374" s="83" t="s">
        <v>29</v>
      </c>
      <c r="G374" s="83" t="s">
        <v>90</v>
      </c>
      <c r="H374" s="89" t="s">
        <v>36</v>
      </c>
      <c r="I374" s="108">
        <v>29.5</v>
      </c>
      <c r="J374" s="88" t="s">
        <v>125</v>
      </c>
      <c r="K374" s="125" t="s">
        <v>619</v>
      </c>
      <c r="L374" s="38" t="s">
        <v>34</v>
      </c>
      <c r="M374" s="90" t="s">
        <v>1</v>
      </c>
      <c r="N374" s="36">
        <v>174.6</v>
      </c>
      <c r="O374" s="36">
        <v>165.87</v>
      </c>
      <c r="P374" s="36">
        <v>200.79</v>
      </c>
      <c r="Q374" s="36">
        <v>174.6</v>
      </c>
      <c r="R374" s="36">
        <v>159.03</v>
      </c>
      <c r="S374" s="84">
        <v>209.25</v>
      </c>
      <c r="T374" s="36">
        <v>167.4</v>
      </c>
      <c r="U374" s="36">
        <v>209.25</v>
      </c>
      <c r="V374" s="36">
        <v>159.03</v>
      </c>
      <c r="W374" s="36">
        <v>150.66</v>
      </c>
      <c r="X374" s="36">
        <v>200.88000000000002</v>
      </c>
      <c r="Y374" s="36">
        <v>159.03</v>
      </c>
      <c r="Z374" s="123"/>
      <c r="AA374" s="37">
        <f t="shared" si="444"/>
        <v>5150.7</v>
      </c>
      <c r="AB374" s="37">
        <f t="shared" si="445"/>
        <v>4893.165</v>
      </c>
      <c r="AC374" s="37">
        <f t="shared" si="446"/>
        <v>5923.3049999999994</v>
      </c>
      <c r="AD374" s="37">
        <f t="shared" si="447"/>
        <v>5150.7</v>
      </c>
      <c r="AE374" s="37">
        <f t="shared" si="448"/>
        <v>4691.3850000000002</v>
      </c>
      <c r="AF374" s="37">
        <f t="shared" si="449"/>
        <v>6172.875</v>
      </c>
      <c r="AG374" s="37">
        <f t="shared" si="450"/>
        <v>4938.3</v>
      </c>
      <c r="AH374" s="37">
        <f t="shared" si="451"/>
        <v>6172.875</v>
      </c>
      <c r="AI374" s="37">
        <f t="shared" si="452"/>
        <v>4691.3850000000002</v>
      </c>
      <c r="AJ374" s="37">
        <f t="shared" si="453"/>
        <v>4444.47</v>
      </c>
      <c r="AK374" s="37">
        <f t="shared" si="454"/>
        <v>5925.9600000000009</v>
      </c>
      <c r="AL374" s="37">
        <f t="shared" si="455"/>
        <v>4691.3850000000002</v>
      </c>
      <c r="AM374" s="120">
        <v>1</v>
      </c>
    </row>
    <row r="375" spans="1:39" s="91" customFormat="1" ht="15.6">
      <c r="A375" s="96" t="s">
        <v>336</v>
      </c>
      <c r="B375" s="83" t="s">
        <v>89</v>
      </c>
      <c r="C375" s="88" t="s">
        <v>538</v>
      </c>
      <c r="D375" s="88" t="s">
        <v>1048</v>
      </c>
      <c r="E375" s="38" t="s">
        <v>432</v>
      </c>
      <c r="F375" s="83" t="s">
        <v>29</v>
      </c>
      <c r="G375" s="83" t="s">
        <v>350</v>
      </c>
      <c r="H375" s="89" t="s">
        <v>60</v>
      </c>
      <c r="I375" s="108">
        <v>19</v>
      </c>
      <c r="J375" s="88" t="s">
        <v>125</v>
      </c>
      <c r="K375" s="125" t="s">
        <v>619</v>
      </c>
      <c r="L375" s="38" t="s">
        <v>34</v>
      </c>
      <c r="M375" s="90" t="s">
        <v>1</v>
      </c>
      <c r="N375" s="84">
        <v>165.87</v>
      </c>
      <c r="O375" s="84">
        <v>165.87</v>
      </c>
      <c r="P375" s="84">
        <v>209.51999999999998</v>
      </c>
      <c r="Q375" s="84">
        <v>174.6</v>
      </c>
      <c r="R375" s="84">
        <v>159.03</v>
      </c>
      <c r="S375" s="84">
        <v>209.25</v>
      </c>
      <c r="T375" s="84">
        <v>167.4</v>
      </c>
      <c r="U375" s="84">
        <v>209.25</v>
      </c>
      <c r="V375" s="84">
        <v>159.03</v>
      </c>
      <c r="W375" s="84">
        <v>150.66</v>
      </c>
      <c r="X375" s="84">
        <v>209.25</v>
      </c>
      <c r="Y375" s="84">
        <v>159.03</v>
      </c>
      <c r="Z375" s="123"/>
      <c r="AA375" s="37">
        <f t="shared" si="444"/>
        <v>3151.53</v>
      </c>
      <c r="AB375" s="37">
        <f t="shared" si="445"/>
        <v>3151.53</v>
      </c>
      <c r="AC375" s="37">
        <f t="shared" si="446"/>
        <v>3980.8799999999997</v>
      </c>
      <c r="AD375" s="37">
        <f t="shared" si="447"/>
        <v>3317.4</v>
      </c>
      <c r="AE375" s="37">
        <f t="shared" si="448"/>
        <v>3021.57</v>
      </c>
      <c r="AF375" s="37">
        <f t="shared" si="449"/>
        <v>3975.75</v>
      </c>
      <c r="AG375" s="37">
        <f t="shared" si="450"/>
        <v>3180.6</v>
      </c>
      <c r="AH375" s="37">
        <f t="shared" si="451"/>
        <v>3975.75</v>
      </c>
      <c r="AI375" s="37">
        <f t="shared" si="452"/>
        <v>3021.57</v>
      </c>
      <c r="AJ375" s="37">
        <f t="shared" si="453"/>
        <v>2862.54</v>
      </c>
      <c r="AK375" s="37">
        <f t="shared" si="454"/>
        <v>3975.75</v>
      </c>
      <c r="AL375" s="37">
        <f t="shared" si="455"/>
        <v>3021.57</v>
      </c>
      <c r="AM375" s="120">
        <v>1</v>
      </c>
    </row>
    <row r="376" spans="1:39" s="91" customFormat="1" ht="15.6">
      <c r="A376" s="96" t="s">
        <v>336</v>
      </c>
      <c r="B376" s="83" t="s">
        <v>89</v>
      </c>
      <c r="C376" s="88" t="s">
        <v>644</v>
      </c>
      <c r="D376" s="88" t="s">
        <v>1049</v>
      </c>
      <c r="E376" s="38" t="s">
        <v>642</v>
      </c>
      <c r="F376" s="83" t="s">
        <v>29</v>
      </c>
      <c r="G376" s="83" t="s">
        <v>90</v>
      </c>
      <c r="H376" s="89" t="s">
        <v>101</v>
      </c>
      <c r="I376" s="108">
        <v>14</v>
      </c>
      <c r="J376" s="88" t="s">
        <v>125</v>
      </c>
      <c r="K376" s="125" t="s">
        <v>1063</v>
      </c>
      <c r="L376" s="38" t="s">
        <v>34</v>
      </c>
      <c r="M376" s="90" t="s">
        <v>1</v>
      </c>
      <c r="N376" s="36">
        <v>174.6</v>
      </c>
      <c r="O376" s="36">
        <v>165.87</v>
      </c>
      <c r="P376" s="36">
        <v>200.79</v>
      </c>
      <c r="Q376" s="36">
        <v>174.6</v>
      </c>
      <c r="R376" s="36">
        <v>159.03</v>
      </c>
      <c r="S376" s="84">
        <v>209.25</v>
      </c>
      <c r="T376" s="36">
        <v>167.4</v>
      </c>
      <c r="U376" s="36">
        <v>209.25</v>
      </c>
      <c r="V376" s="36">
        <v>159.03</v>
      </c>
      <c r="W376" s="36">
        <v>150.66</v>
      </c>
      <c r="X376" s="36">
        <v>200.88000000000002</v>
      </c>
      <c r="Y376" s="36">
        <v>159.03</v>
      </c>
      <c r="Z376" s="123"/>
      <c r="AA376" s="37">
        <f t="shared" si="444"/>
        <v>2444.4</v>
      </c>
      <c r="AB376" s="37">
        <f t="shared" si="445"/>
        <v>2322.1800000000003</v>
      </c>
      <c r="AC376" s="37">
        <f t="shared" si="446"/>
        <v>2811.06</v>
      </c>
      <c r="AD376" s="37">
        <f t="shared" si="447"/>
        <v>2444.4</v>
      </c>
      <c r="AE376" s="37">
        <f t="shared" si="448"/>
        <v>2226.42</v>
      </c>
      <c r="AF376" s="37">
        <f t="shared" si="449"/>
        <v>2929.5</v>
      </c>
      <c r="AG376" s="37">
        <f t="shared" si="450"/>
        <v>2343.6</v>
      </c>
      <c r="AH376" s="37">
        <f t="shared" si="451"/>
        <v>2929.5</v>
      </c>
      <c r="AI376" s="37">
        <f t="shared" si="452"/>
        <v>2226.42</v>
      </c>
      <c r="AJ376" s="37">
        <f t="shared" si="453"/>
        <v>2109.2399999999998</v>
      </c>
      <c r="AK376" s="37">
        <f t="shared" si="454"/>
        <v>2812.32</v>
      </c>
      <c r="AL376" s="37">
        <f t="shared" si="455"/>
        <v>2226.42</v>
      </c>
      <c r="AM376" s="120">
        <v>1</v>
      </c>
    </row>
    <row r="377" spans="1:39" s="91" customFormat="1" ht="15.6">
      <c r="A377" s="96" t="s">
        <v>336</v>
      </c>
      <c r="B377" s="83" t="s">
        <v>89</v>
      </c>
      <c r="C377" s="88" t="s">
        <v>645</v>
      </c>
      <c r="D377" s="88" t="s">
        <v>1050</v>
      </c>
      <c r="E377" s="88" t="s">
        <v>643</v>
      </c>
      <c r="F377" s="83" t="s">
        <v>29</v>
      </c>
      <c r="G377" s="83" t="s">
        <v>90</v>
      </c>
      <c r="H377" s="89" t="s">
        <v>101</v>
      </c>
      <c r="I377" s="108">
        <v>14</v>
      </c>
      <c r="J377" s="88" t="s">
        <v>125</v>
      </c>
      <c r="K377" s="125" t="s">
        <v>619</v>
      </c>
      <c r="L377" s="38" t="s">
        <v>34</v>
      </c>
      <c r="M377" s="90" t="s">
        <v>1</v>
      </c>
      <c r="N377" s="36">
        <v>174.6</v>
      </c>
      <c r="O377" s="36">
        <v>165.87</v>
      </c>
      <c r="P377" s="36">
        <v>200.79</v>
      </c>
      <c r="Q377" s="36">
        <v>174.6</v>
      </c>
      <c r="R377" s="36">
        <v>159.03</v>
      </c>
      <c r="S377" s="84">
        <v>209.25</v>
      </c>
      <c r="T377" s="36">
        <v>167.4</v>
      </c>
      <c r="U377" s="36">
        <v>209.25</v>
      </c>
      <c r="V377" s="36">
        <v>159.03</v>
      </c>
      <c r="W377" s="36">
        <v>150.66</v>
      </c>
      <c r="X377" s="36">
        <v>200.88000000000002</v>
      </c>
      <c r="Y377" s="36">
        <v>159.03</v>
      </c>
      <c r="Z377" s="123"/>
      <c r="AA377" s="37">
        <f t="shared" si="444"/>
        <v>2444.4</v>
      </c>
      <c r="AB377" s="37">
        <f t="shared" si="445"/>
        <v>2322.1800000000003</v>
      </c>
      <c r="AC377" s="37">
        <f t="shared" si="446"/>
        <v>2811.06</v>
      </c>
      <c r="AD377" s="37">
        <f t="shared" si="447"/>
        <v>2444.4</v>
      </c>
      <c r="AE377" s="37">
        <f t="shared" si="448"/>
        <v>2226.42</v>
      </c>
      <c r="AF377" s="37">
        <f t="shared" si="449"/>
        <v>2929.5</v>
      </c>
      <c r="AG377" s="37">
        <f t="shared" si="450"/>
        <v>2343.6</v>
      </c>
      <c r="AH377" s="37">
        <f t="shared" si="451"/>
        <v>2929.5</v>
      </c>
      <c r="AI377" s="37">
        <f t="shared" si="452"/>
        <v>2226.42</v>
      </c>
      <c r="AJ377" s="37">
        <f t="shared" si="453"/>
        <v>2109.2399999999998</v>
      </c>
      <c r="AK377" s="37">
        <f t="shared" si="454"/>
        <v>2812.32</v>
      </c>
      <c r="AL377" s="37">
        <f t="shared" si="455"/>
        <v>2226.42</v>
      </c>
      <c r="AM377" s="120">
        <v>1</v>
      </c>
    </row>
    <row r="378" spans="1:39" s="91" customFormat="1" ht="15" customHeight="1">
      <c r="A378" s="96" t="s">
        <v>336</v>
      </c>
      <c r="B378" s="83" t="s">
        <v>89</v>
      </c>
      <c r="C378" s="88" t="s">
        <v>487</v>
      </c>
      <c r="D378" s="88" t="s">
        <v>1051</v>
      </c>
      <c r="E378" s="111" t="s">
        <v>354</v>
      </c>
      <c r="F378" s="83" t="s">
        <v>29</v>
      </c>
      <c r="G378" s="83" t="s">
        <v>30</v>
      </c>
      <c r="H378" s="89" t="s">
        <v>60</v>
      </c>
      <c r="I378" s="108">
        <v>23.5</v>
      </c>
      <c r="J378" s="88" t="s">
        <v>125</v>
      </c>
      <c r="K378" s="88" t="s">
        <v>340</v>
      </c>
      <c r="L378" s="38" t="s">
        <v>34</v>
      </c>
      <c r="M378" s="90" t="s">
        <v>1</v>
      </c>
      <c r="N378" s="84">
        <v>165.87</v>
      </c>
      <c r="O378" s="84">
        <f>90-10</f>
        <v>80</v>
      </c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123" t="s">
        <v>775</v>
      </c>
      <c r="AA378" s="37">
        <f t="shared" si="444"/>
        <v>3897.9450000000002</v>
      </c>
      <c r="AB378" s="37">
        <f t="shared" si="445"/>
        <v>1880</v>
      </c>
      <c r="AC378" s="37">
        <f t="shared" si="446"/>
        <v>0</v>
      </c>
      <c r="AD378" s="37">
        <f t="shared" si="447"/>
        <v>0</v>
      </c>
      <c r="AE378" s="37">
        <f t="shared" si="448"/>
        <v>0</v>
      </c>
      <c r="AF378" s="37">
        <f t="shared" si="449"/>
        <v>0</v>
      </c>
      <c r="AG378" s="37">
        <f t="shared" si="450"/>
        <v>0</v>
      </c>
      <c r="AH378" s="37">
        <f t="shared" si="451"/>
        <v>0</v>
      </c>
      <c r="AI378" s="37">
        <f t="shared" si="452"/>
        <v>0</v>
      </c>
      <c r="AJ378" s="37">
        <f t="shared" si="453"/>
        <v>0</v>
      </c>
      <c r="AK378" s="37">
        <f t="shared" si="454"/>
        <v>0</v>
      </c>
      <c r="AL378" s="37">
        <f t="shared" si="455"/>
        <v>0</v>
      </c>
      <c r="AM378" s="120">
        <v>0</v>
      </c>
    </row>
    <row r="379" spans="1:39" s="91" customFormat="1" ht="15.6">
      <c r="A379" s="96" t="s">
        <v>336</v>
      </c>
      <c r="B379" s="83" t="s">
        <v>89</v>
      </c>
      <c r="C379" s="38" t="s">
        <v>626</v>
      </c>
      <c r="D379" s="38" t="s">
        <v>1052</v>
      </c>
      <c r="E379" s="111" t="s">
        <v>627</v>
      </c>
      <c r="F379" s="83" t="s">
        <v>29</v>
      </c>
      <c r="G379" s="83" t="s">
        <v>30</v>
      </c>
      <c r="H379" s="89" t="s">
        <v>36</v>
      </c>
      <c r="I379" s="108">
        <v>25.5</v>
      </c>
      <c r="J379" s="88" t="s">
        <v>125</v>
      </c>
      <c r="K379" s="125" t="s">
        <v>619</v>
      </c>
      <c r="L379" s="88" t="s">
        <v>34</v>
      </c>
      <c r="M379" s="90" t="s">
        <v>3</v>
      </c>
      <c r="N379" s="84">
        <v>166.84</v>
      </c>
      <c r="O379" s="84">
        <v>166.84</v>
      </c>
      <c r="P379" s="84">
        <v>210.48999999999998</v>
      </c>
      <c r="Q379" s="84">
        <v>120</v>
      </c>
      <c r="R379" s="84"/>
      <c r="S379" s="84"/>
      <c r="T379" s="84"/>
      <c r="U379" s="84"/>
      <c r="V379" s="84"/>
      <c r="W379" s="84"/>
      <c r="X379" s="84"/>
      <c r="Y379" s="84"/>
      <c r="Z379" s="123" t="s">
        <v>1104</v>
      </c>
      <c r="AA379" s="37">
        <f t="shared" si="444"/>
        <v>4254.42</v>
      </c>
      <c r="AB379" s="37">
        <f t="shared" si="445"/>
        <v>4254.42</v>
      </c>
      <c r="AC379" s="37">
        <f t="shared" si="446"/>
        <v>5367.4949999999999</v>
      </c>
      <c r="AD379" s="37">
        <f t="shared" si="447"/>
        <v>3060</v>
      </c>
      <c r="AE379" s="37">
        <f t="shared" si="448"/>
        <v>0</v>
      </c>
      <c r="AF379" s="37">
        <f t="shared" si="449"/>
        <v>0</v>
      </c>
      <c r="AG379" s="37">
        <f t="shared" si="450"/>
        <v>0</v>
      </c>
      <c r="AH379" s="37">
        <f t="shared" si="451"/>
        <v>0</v>
      </c>
      <c r="AI379" s="37">
        <f t="shared" si="452"/>
        <v>0</v>
      </c>
      <c r="AJ379" s="37">
        <f t="shared" si="453"/>
        <v>0</v>
      </c>
      <c r="AK379" s="37">
        <f t="shared" si="454"/>
        <v>0</v>
      </c>
      <c r="AL379" s="37">
        <f t="shared" si="455"/>
        <v>0</v>
      </c>
      <c r="AM379" s="120">
        <v>0</v>
      </c>
    </row>
    <row r="380" spans="1:39" s="91" customFormat="1" ht="15.6">
      <c r="A380" s="96" t="s">
        <v>336</v>
      </c>
      <c r="B380" s="83" t="s">
        <v>89</v>
      </c>
      <c r="C380" s="38" t="s">
        <v>1222</v>
      </c>
      <c r="D380" s="38" t="s">
        <v>1221</v>
      </c>
      <c r="E380" s="116" t="s">
        <v>1164</v>
      </c>
      <c r="F380" s="83" t="s">
        <v>29</v>
      </c>
      <c r="G380" s="83" t="s">
        <v>35</v>
      </c>
      <c r="H380" s="89" t="s">
        <v>36</v>
      </c>
      <c r="I380" s="108">
        <v>25.5</v>
      </c>
      <c r="J380" s="88" t="s">
        <v>125</v>
      </c>
      <c r="K380" s="125" t="s">
        <v>619</v>
      </c>
      <c r="L380" s="88" t="s">
        <v>34</v>
      </c>
      <c r="M380" s="90" t="s">
        <v>3</v>
      </c>
      <c r="N380" s="84"/>
      <c r="O380" s="84"/>
      <c r="P380" s="84"/>
      <c r="Q380" s="84"/>
      <c r="R380" s="36"/>
      <c r="S380" s="84">
        <f>10*8</f>
        <v>80</v>
      </c>
      <c r="T380" s="84">
        <v>167.4</v>
      </c>
      <c r="U380" s="84">
        <v>209.25</v>
      </c>
      <c r="V380" s="84">
        <v>159.96</v>
      </c>
      <c r="W380" s="84">
        <v>152.52000000000001</v>
      </c>
      <c r="X380" s="84">
        <v>201.81</v>
      </c>
      <c r="Y380" s="84">
        <v>159.96</v>
      </c>
      <c r="Z380" s="123" t="s">
        <v>1103</v>
      </c>
      <c r="AA380" s="37">
        <f t="shared" si="444"/>
        <v>0</v>
      </c>
      <c r="AB380" s="37">
        <f t="shared" si="445"/>
        <v>0</v>
      </c>
      <c r="AC380" s="37">
        <f t="shared" si="446"/>
        <v>0</v>
      </c>
      <c r="AD380" s="37">
        <f t="shared" si="447"/>
        <v>0</v>
      </c>
      <c r="AE380" s="37">
        <f t="shared" si="448"/>
        <v>0</v>
      </c>
      <c r="AF380" s="37">
        <f t="shared" si="449"/>
        <v>2040</v>
      </c>
      <c r="AG380" s="37">
        <f t="shared" si="450"/>
        <v>4268.7</v>
      </c>
      <c r="AH380" s="37">
        <f t="shared" si="451"/>
        <v>5335.875</v>
      </c>
      <c r="AI380" s="37">
        <f t="shared" si="452"/>
        <v>4078.98</v>
      </c>
      <c r="AJ380" s="37">
        <f t="shared" si="453"/>
        <v>3889.26</v>
      </c>
      <c r="AK380" s="37">
        <f t="shared" si="454"/>
        <v>5146.1549999999997</v>
      </c>
      <c r="AL380" s="37">
        <f t="shared" si="455"/>
        <v>4078.98</v>
      </c>
      <c r="AM380" s="120">
        <v>1</v>
      </c>
    </row>
    <row r="381" spans="1:39" s="91" customFormat="1" ht="15.6">
      <c r="A381" s="96" t="s">
        <v>336</v>
      </c>
      <c r="B381" s="83" t="s">
        <v>89</v>
      </c>
      <c r="C381" s="38">
        <v>917060</v>
      </c>
      <c r="D381" s="38">
        <v>917060744</v>
      </c>
      <c r="E381" s="116" t="s">
        <v>1170</v>
      </c>
      <c r="F381" s="83" t="s">
        <v>29</v>
      </c>
      <c r="G381" s="83" t="s">
        <v>350</v>
      </c>
      <c r="H381" s="89" t="s">
        <v>31</v>
      </c>
      <c r="I381" s="108">
        <v>37</v>
      </c>
      <c r="J381" s="88" t="s">
        <v>125</v>
      </c>
      <c r="K381" s="125" t="s">
        <v>619</v>
      </c>
      <c r="L381" s="38" t="s">
        <v>34</v>
      </c>
      <c r="M381" s="90" t="s">
        <v>1</v>
      </c>
      <c r="N381" s="84"/>
      <c r="O381" s="84"/>
      <c r="P381" s="84"/>
      <c r="Q381" s="84"/>
      <c r="R381" s="36"/>
      <c r="S381" s="84">
        <f>19*9</f>
        <v>171</v>
      </c>
      <c r="T381" s="84">
        <v>167.4</v>
      </c>
      <c r="U381" s="84">
        <v>209.25</v>
      </c>
      <c r="V381" s="84">
        <v>159.03</v>
      </c>
      <c r="W381" s="84">
        <v>150.66</v>
      </c>
      <c r="X381" s="84">
        <v>209.25</v>
      </c>
      <c r="Y381" s="84">
        <v>159.03</v>
      </c>
      <c r="Z381" s="123" t="s">
        <v>1103</v>
      </c>
      <c r="AA381" s="37">
        <f t="shared" ref="AA381:AA383" si="468">$I381*N381</f>
        <v>0</v>
      </c>
      <c r="AB381" s="37">
        <f t="shared" ref="AB381:AB383" si="469">$I381*O381</f>
        <v>0</v>
      </c>
      <c r="AC381" s="37">
        <f t="shared" ref="AC381:AC383" si="470">$I381*P381</f>
        <v>0</v>
      </c>
      <c r="AD381" s="37">
        <f t="shared" ref="AD381:AD383" si="471">$I381*Q381</f>
        <v>0</v>
      </c>
      <c r="AE381" s="37">
        <f t="shared" ref="AE381:AE383" si="472">$I381*R381</f>
        <v>0</v>
      </c>
      <c r="AF381" s="37">
        <f t="shared" ref="AF381:AF383" si="473">$I381*S381</f>
        <v>6327</v>
      </c>
      <c r="AG381" s="37">
        <f t="shared" ref="AG381:AG383" si="474">$I381*T381</f>
        <v>6193.8</v>
      </c>
      <c r="AH381" s="37">
        <f t="shared" ref="AH381:AH383" si="475">$I381*U381</f>
        <v>7742.25</v>
      </c>
      <c r="AI381" s="37">
        <f t="shared" ref="AI381:AI383" si="476">$I381*V381</f>
        <v>5884.11</v>
      </c>
      <c r="AJ381" s="37">
        <f t="shared" ref="AJ381:AJ383" si="477">$I381*W381</f>
        <v>5574.42</v>
      </c>
      <c r="AK381" s="37">
        <f t="shared" ref="AK381:AK383" si="478">$I381*X381</f>
        <v>7742.25</v>
      </c>
      <c r="AL381" s="37">
        <f t="shared" ref="AL381:AL383" si="479">$I381*Y381</f>
        <v>5884.11</v>
      </c>
      <c r="AM381" s="120">
        <v>1</v>
      </c>
    </row>
    <row r="382" spans="1:39" s="91" customFormat="1" ht="15.6">
      <c r="A382" s="96" t="s">
        <v>336</v>
      </c>
      <c r="B382" s="83" t="s">
        <v>89</v>
      </c>
      <c r="C382" s="38" t="s">
        <v>1174</v>
      </c>
      <c r="D382" s="38" t="s">
        <v>1173</v>
      </c>
      <c r="E382" s="116" t="s">
        <v>1171</v>
      </c>
      <c r="F382" s="83" t="s">
        <v>29</v>
      </c>
      <c r="G382" s="83" t="s">
        <v>297</v>
      </c>
      <c r="H382" s="89" t="s">
        <v>31</v>
      </c>
      <c r="I382" s="108">
        <v>37</v>
      </c>
      <c r="J382" s="88" t="s">
        <v>125</v>
      </c>
      <c r="K382" s="125" t="s">
        <v>619</v>
      </c>
      <c r="L382" s="38" t="s">
        <v>34</v>
      </c>
      <c r="M382" s="90" t="s">
        <v>1</v>
      </c>
      <c r="N382" s="84"/>
      <c r="O382" s="84"/>
      <c r="P382" s="84"/>
      <c r="Q382" s="84"/>
      <c r="R382" s="36"/>
      <c r="S382" s="84">
        <f>20*9</f>
        <v>180</v>
      </c>
      <c r="T382" s="84">
        <v>167.4</v>
      </c>
      <c r="U382" s="84">
        <v>209.25</v>
      </c>
      <c r="V382" s="84">
        <v>159.03</v>
      </c>
      <c r="W382" s="84">
        <v>150.66</v>
      </c>
      <c r="X382" s="84">
        <v>200.88000000000002</v>
      </c>
      <c r="Y382" s="84">
        <v>159.03</v>
      </c>
      <c r="Z382" s="123" t="s">
        <v>1103</v>
      </c>
      <c r="AA382" s="37">
        <f t="shared" si="468"/>
        <v>0</v>
      </c>
      <c r="AB382" s="37">
        <f t="shared" si="469"/>
        <v>0</v>
      </c>
      <c r="AC382" s="37">
        <f t="shared" si="470"/>
        <v>0</v>
      </c>
      <c r="AD382" s="37">
        <f t="shared" si="471"/>
        <v>0</v>
      </c>
      <c r="AE382" s="37">
        <f t="shared" si="472"/>
        <v>0</v>
      </c>
      <c r="AF382" s="37">
        <f t="shared" si="473"/>
        <v>6660</v>
      </c>
      <c r="AG382" s="37">
        <f t="shared" si="474"/>
        <v>6193.8</v>
      </c>
      <c r="AH382" s="37">
        <f t="shared" si="475"/>
        <v>7742.25</v>
      </c>
      <c r="AI382" s="37">
        <f t="shared" si="476"/>
        <v>5884.11</v>
      </c>
      <c r="AJ382" s="37">
        <f t="shared" si="477"/>
        <v>5574.42</v>
      </c>
      <c r="AK382" s="37">
        <f t="shared" si="478"/>
        <v>7432.5600000000013</v>
      </c>
      <c r="AL382" s="37">
        <f t="shared" si="479"/>
        <v>5884.11</v>
      </c>
      <c r="AM382" s="120">
        <v>1</v>
      </c>
    </row>
    <row r="383" spans="1:39" s="91" customFormat="1" ht="15.6">
      <c r="A383" s="96" t="s">
        <v>336</v>
      </c>
      <c r="B383" s="83" t="s">
        <v>89</v>
      </c>
      <c r="C383" s="38" t="s">
        <v>1176</v>
      </c>
      <c r="D383" s="38" t="s">
        <v>1175</v>
      </c>
      <c r="E383" s="116" t="s">
        <v>1172</v>
      </c>
      <c r="F383" s="83" t="s">
        <v>29</v>
      </c>
      <c r="G383" s="83" t="s">
        <v>30</v>
      </c>
      <c r="H383" s="89" t="s">
        <v>60</v>
      </c>
      <c r="I383" s="108">
        <v>23.5</v>
      </c>
      <c r="J383" s="88" t="s">
        <v>125</v>
      </c>
      <c r="K383" s="125" t="s">
        <v>619</v>
      </c>
      <c r="L383" s="38" t="s">
        <v>34</v>
      </c>
      <c r="M383" s="90" t="s">
        <v>1</v>
      </c>
      <c r="N383" s="84"/>
      <c r="O383" s="84"/>
      <c r="P383" s="84"/>
      <c r="Q383" s="84"/>
      <c r="R383" s="36"/>
      <c r="S383" s="84">
        <f>20*9</f>
        <v>180</v>
      </c>
      <c r="T383" s="84">
        <v>167.4</v>
      </c>
      <c r="U383" s="84">
        <v>209.25</v>
      </c>
      <c r="V383" s="84">
        <v>159.03</v>
      </c>
      <c r="W383" s="84">
        <v>150.66</v>
      </c>
      <c r="X383" s="84">
        <v>209.25</v>
      </c>
      <c r="Y383" s="84">
        <v>159.03</v>
      </c>
      <c r="Z383" s="123" t="s">
        <v>1103</v>
      </c>
      <c r="AA383" s="37">
        <f t="shared" si="468"/>
        <v>0</v>
      </c>
      <c r="AB383" s="37">
        <f t="shared" si="469"/>
        <v>0</v>
      </c>
      <c r="AC383" s="37">
        <f t="shared" si="470"/>
        <v>0</v>
      </c>
      <c r="AD383" s="37">
        <f t="shared" si="471"/>
        <v>0</v>
      </c>
      <c r="AE383" s="37">
        <f t="shared" si="472"/>
        <v>0</v>
      </c>
      <c r="AF383" s="37">
        <f t="shared" si="473"/>
        <v>4230</v>
      </c>
      <c r="AG383" s="37">
        <f t="shared" si="474"/>
        <v>3933.9</v>
      </c>
      <c r="AH383" s="37">
        <f t="shared" si="475"/>
        <v>4917.375</v>
      </c>
      <c r="AI383" s="37">
        <f t="shared" si="476"/>
        <v>3737.2049999999999</v>
      </c>
      <c r="AJ383" s="37">
        <f t="shared" si="477"/>
        <v>3540.5099999999998</v>
      </c>
      <c r="AK383" s="37">
        <f t="shared" si="478"/>
        <v>4917.375</v>
      </c>
      <c r="AL383" s="37">
        <f t="shared" si="479"/>
        <v>3737.2049999999999</v>
      </c>
      <c r="AM383" s="120">
        <v>1</v>
      </c>
    </row>
    <row r="384" spans="1:39" s="91" customFormat="1" ht="15.6">
      <c r="A384" s="96" t="s">
        <v>336</v>
      </c>
      <c r="B384" s="83" t="s">
        <v>89</v>
      </c>
      <c r="C384" s="85" t="s">
        <v>1219</v>
      </c>
      <c r="D384" s="85" t="s">
        <v>1220</v>
      </c>
      <c r="E384" s="116" t="s">
        <v>1212</v>
      </c>
      <c r="F384" s="83" t="s">
        <v>29</v>
      </c>
      <c r="G384" s="83" t="s">
        <v>30</v>
      </c>
      <c r="H384" s="89" t="s">
        <v>31</v>
      </c>
      <c r="I384" s="108">
        <v>37</v>
      </c>
      <c r="J384" s="88" t="s">
        <v>125</v>
      </c>
      <c r="K384" s="125" t="s">
        <v>619</v>
      </c>
      <c r="L384" s="88" t="s">
        <v>34</v>
      </c>
      <c r="M384" s="90" t="s">
        <v>1</v>
      </c>
      <c r="N384" s="84"/>
      <c r="O384" s="84"/>
      <c r="P384" s="84"/>
      <c r="Q384" s="84"/>
      <c r="R384" s="36"/>
      <c r="S384" s="84">
        <v>104.625</v>
      </c>
      <c r="T384" s="84">
        <v>83.7</v>
      </c>
      <c r="U384" s="84">
        <v>104.625</v>
      </c>
      <c r="V384" s="84">
        <v>79.515000000000001</v>
      </c>
      <c r="W384" s="84">
        <v>75.33</v>
      </c>
      <c r="X384" s="84">
        <v>104.625</v>
      </c>
      <c r="Y384" s="84">
        <v>79.515000000000001</v>
      </c>
      <c r="Z384" s="123" t="s">
        <v>1213</v>
      </c>
      <c r="AA384" s="37">
        <f t="shared" ref="AA384" si="480">$I384*N384</f>
        <v>0</v>
      </c>
      <c r="AB384" s="37">
        <f t="shared" ref="AB384" si="481">$I384*O384</f>
        <v>0</v>
      </c>
      <c r="AC384" s="37">
        <f t="shared" ref="AC384" si="482">$I384*P384</f>
        <v>0</v>
      </c>
      <c r="AD384" s="37">
        <f t="shared" ref="AD384" si="483">$I384*Q384</f>
        <v>0</v>
      </c>
      <c r="AE384" s="37">
        <f t="shared" ref="AE384" si="484">$I384*R384</f>
        <v>0</v>
      </c>
      <c r="AF384" s="37">
        <f t="shared" ref="AF384" si="485">$I384*S384</f>
        <v>3871.125</v>
      </c>
      <c r="AG384" s="37">
        <f t="shared" ref="AG384" si="486">$I384*T384</f>
        <v>3096.9</v>
      </c>
      <c r="AH384" s="37">
        <f t="shared" ref="AH384" si="487">$I384*U384</f>
        <v>3871.125</v>
      </c>
      <c r="AI384" s="37">
        <f t="shared" ref="AI384" si="488">$I384*V384</f>
        <v>2942.0549999999998</v>
      </c>
      <c r="AJ384" s="37">
        <f t="shared" ref="AJ384" si="489">$I384*W384</f>
        <v>2787.21</v>
      </c>
      <c r="AK384" s="37">
        <f t="shared" ref="AK384" si="490">$I384*X384</f>
        <v>3871.125</v>
      </c>
      <c r="AL384" s="37">
        <f t="shared" ref="AL384" si="491">$I384*Y384</f>
        <v>2942.0549999999998</v>
      </c>
      <c r="AM384" s="120">
        <v>0.5</v>
      </c>
    </row>
    <row r="385" spans="1:39" s="91" customFormat="1" ht="15.6">
      <c r="A385" s="96" t="s">
        <v>336</v>
      </c>
      <c r="B385" s="83" t="s">
        <v>89</v>
      </c>
      <c r="C385" s="85" t="s">
        <v>542</v>
      </c>
      <c r="D385" s="85" t="s">
        <v>806</v>
      </c>
      <c r="E385" s="88" t="s">
        <v>437</v>
      </c>
      <c r="F385" s="83" t="s">
        <v>29</v>
      </c>
      <c r="G385" s="83" t="s">
        <v>221</v>
      </c>
      <c r="H385" s="89">
        <v>8</v>
      </c>
      <c r="I385" s="108">
        <v>41</v>
      </c>
      <c r="J385" s="88" t="s">
        <v>473</v>
      </c>
      <c r="K385" s="38" t="s">
        <v>126</v>
      </c>
      <c r="L385" s="38" t="s">
        <v>34</v>
      </c>
      <c r="M385" s="90" t="s">
        <v>1</v>
      </c>
      <c r="N385" s="36"/>
      <c r="O385" s="36"/>
      <c r="P385" s="36"/>
      <c r="Q385" s="36">
        <v>125</v>
      </c>
      <c r="R385" s="36">
        <v>120</v>
      </c>
      <c r="S385" s="84">
        <f>157-9</f>
        <v>148</v>
      </c>
      <c r="T385" s="36">
        <v>167.4</v>
      </c>
      <c r="U385" s="36">
        <v>209.25</v>
      </c>
      <c r="V385" s="36">
        <v>159.03</v>
      </c>
      <c r="W385" s="36">
        <v>150.66</v>
      </c>
      <c r="X385" s="36">
        <v>200.88000000000002</v>
      </c>
      <c r="Y385" s="36">
        <v>159.03</v>
      </c>
      <c r="Z385" s="117"/>
      <c r="AA385" s="37">
        <f t="shared" si="444"/>
        <v>0</v>
      </c>
      <c r="AB385" s="37">
        <f t="shared" si="445"/>
        <v>0</v>
      </c>
      <c r="AC385" s="37">
        <f t="shared" si="446"/>
        <v>0</v>
      </c>
      <c r="AD385" s="37">
        <f t="shared" si="447"/>
        <v>5125</v>
      </c>
      <c r="AE385" s="37">
        <f t="shared" si="448"/>
        <v>4920</v>
      </c>
      <c r="AF385" s="37">
        <f t="shared" si="449"/>
        <v>6068</v>
      </c>
      <c r="AG385" s="37">
        <f t="shared" si="450"/>
        <v>6863.4000000000005</v>
      </c>
      <c r="AH385" s="37">
        <f t="shared" si="451"/>
        <v>8579.25</v>
      </c>
      <c r="AI385" s="37">
        <f t="shared" si="452"/>
        <v>6520.2300000000005</v>
      </c>
      <c r="AJ385" s="37">
        <f t="shared" si="453"/>
        <v>6177.0599999999995</v>
      </c>
      <c r="AK385" s="37">
        <f t="shared" si="454"/>
        <v>8236.0800000000017</v>
      </c>
      <c r="AL385" s="37">
        <f t="shared" si="455"/>
        <v>6520.2300000000005</v>
      </c>
      <c r="AM385" s="104">
        <v>0.75</v>
      </c>
    </row>
    <row r="386" spans="1:39" s="91" customFormat="1" ht="15.6">
      <c r="A386" s="96" t="s">
        <v>336</v>
      </c>
      <c r="B386" s="83" t="s">
        <v>89</v>
      </c>
      <c r="C386" s="129" t="s">
        <v>754</v>
      </c>
      <c r="D386" s="129" t="s">
        <v>799</v>
      </c>
      <c r="E386" s="128" t="s">
        <v>753</v>
      </c>
      <c r="F386" s="83" t="s">
        <v>112</v>
      </c>
      <c r="G386" s="83" t="s">
        <v>73</v>
      </c>
      <c r="H386" s="124">
        <v>10</v>
      </c>
      <c r="I386" s="108">
        <v>252.5</v>
      </c>
      <c r="J386" s="96" t="s">
        <v>368</v>
      </c>
      <c r="K386" s="125" t="s">
        <v>369</v>
      </c>
      <c r="L386" s="88" t="s">
        <v>74</v>
      </c>
      <c r="M386" s="90" t="s">
        <v>2</v>
      </c>
      <c r="N386" s="84">
        <v>152</v>
      </c>
      <c r="O386" s="84">
        <v>152</v>
      </c>
      <c r="P386" s="84">
        <v>192</v>
      </c>
      <c r="Q386" s="84"/>
      <c r="R386" s="84"/>
      <c r="S386" s="84"/>
      <c r="T386" s="84"/>
      <c r="U386" s="84"/>
      <c r="V386" s="84"/>
      <c r="W386" s="84"/>
      <c r="X386" s="84"/>
      <c r="Y386" s="84"/>
      <c r="Z386" s="123"/>
      <c r="AA386" s="37">
        <f t="shared" si="444"/>
        <v>38380</v>
      </c>
      <c r="AB386" s="37">
        <f t="shared" si="445"/>
        <v>38380</v>
      </c>
      <c r="AC386" s="37">
        <f t="shared" si="446"/>
        <v>48480</v>
      </c>
      <c r="AD386" s="37">
        <f t="shared" si="447"/>
        <v>0</v>
      </c>
      <c r="AE386" s="37">
        <f t="shared" si="448"/>
        <v>0</v>
      </c>
      <c r="AF386" s="37">
        <f t="shared" si="449"/>
        <v>0</v>
      </c>
      <c r="AG386" s="37">
        <f t="shared" si="450"/>
        <v>0</v>
      </c>
      <c r="AH386" s="37">
        <f t="shared" si="451"/>
        <v>0</v>
      </c>
      <c r="AI386" s="37">
        <f t="shared" si="452"/>
        <v>0</v>
      </c>
      <c r="AJ386" s="37">
        <f t="shared" si="453"/>
        <v>0</v>
      </c>
      <c r="AK386" s="37">
        <f t="shared" si="454"/>
        <v>0</v>
      </c>
      <c r="AL386" s="37">
        <f t="shared" si="455"/>
        <v>0</v>
      </c>
      <c r="AM386" s="120">
        <v>0</v>
      </c>
    </row>
    <row r="387" spans="1:39" s="91" customFormat="1" ht="15.6">
      <c r="A387" s="96" t="s">
        <v>336</v>
      </c>
      <c r="B387" s="83" t="s">
        <v>89</v>
      </c>
      <c r="C387" s="129" t="s">
        <v>1105</v>
      </c>
      <c r="D387" s="129" t="s">
        <v>1106</v>
      </c>
      <c r="E387" s="88" t="s">
        <v>1107</v>
      </c>
      <c r="F387" s="83" t="s">
        <v>112</v>
      </c>
      <c r="G387" s="83" t="s">
        <v>73</v>
      </c>
      <c r="H387" s="124">
        <v>10</v>
      </c>
      <c r="I387" s="108">
        <v>333.5</v>
      </c>
      <c r="J387" s="96" t="s">
        <v>368</v>
      </c>
      <c r="K387" s="125" t="s">
        <v>369</v>
      </c>
      <c r="L387" s="88" t="s">
        <v>74</v>
      </c>
      <c r="M387" s="90" t="s">
        <v>2</v>
      </c>
      <c r="N387" s="84"/>
      <c r="O387" s="84"/>
      <c r="P387" s="84"/>
      <c r="Q387" s="84">
        <v>0</v>
      </c>
      <c r="R387" s="84">
        <v>0</v>
      </c>
      <c r="S387" s="84">
        <v>0</v>
      </c>
      <c r="T387" s="84">
        <v>0</v>
      </c>
      <c r="U387" s="84">
        <v>192</v>
      </c>
      <c r="V387" s="84">
        <v>152</v>
      </c>
      <c r="W387" s="84">
        <v>152</v>
      </c>
      <c r="X387" s="84">
        <v>192</v>
      </c>
      <c r="Y387" s="84">
        <v>152</v>
      </c>
      <c r="Z387" s="123" t="s">
        <v>1117</v>
      </c>
      <c r="AA387" s="37">
        <f t="shared" si="444"/>
        <v>0</v>
      </c>
      <c r="AB387" s="37">
        <f t="shared" si="445"/>
        <v>0</v>
      </c>
      <c r="AC387" s="37">
        <f t="shared" si="446"/>
        <v>0</v>
      </c>
      <c r="AD387" s="37">
        <f t="shared" si="447"/>
        <v>0</v>
      </c>
      <c r="AE387" s="37">
        <f t="shared" si="448"/>
        <v>0</v>
      </c>
      <c r="AF387" s="37">
        <f t="shared" si="449"/>
        <v>0</v>
      </c>
      <c r="AG387" s="37">
        <f t="shared" si="450"/>
        <v>0</v>
      </c>
      <c r="AH387" s="37">
        <f t="shared" si="451"/>
        <v>64032</v>
      </c>
      <c r="AI387" s="37">
        <f t="shared" si="452"/>
        <v>50692</v>
      </c>
      <c r="AJ387" s="37">
        <f t="shared" si="453"/>
        <v>50692</v>
      </c>
      <c r="AK387" s="37">
        <f t="shared" si="454"/>
        <v>64032</v>
      </c>
      <c r="AL387" s="37">
        <f t="shared" si="455"/>
        <v>50692</v>
      </c>
      <c r="AM387" s="120">
        <v>1</v>
      </c>
    </row>
    <row r="388" spans="1:39" s="91" customFormat="1" ht="15.6">
      <c r="A388" s="96" t="s">
        <v>336</v>
      </c>
      <c r="B388" s="83" t="s">
        <v>89</v>
      </c>
      <c r="C388" s="129" t="s">
        <v>1118</v>
      </c>
      <c r="D388" s="129" t="s">
        <v>1126</v>
      </c>
      <c r="E388" s="88" t="s">
        <v>1119</v>
      </c>
      <c r="F388" s="83" t="s">
        <v>112</v>
      </c>
      <c r="G388" s="83" t="s">
        <v>73</v>
      </c>
      <c r="H388" s="124">
        <v>8</v>
      </c>
      <c r="I388" s="108">
        <v>132</v>
      </c>
      <c r="J388" s="96" t="s">
        <v>368</v>
      </c>
      <c r="K388" s="125" t="s">
        <v>1120</v>
      </c>
      <c r="L388" s="88" t="s">
        <v>74</v>
      </c>
      <c r="M388" s="90" t="s">
        <v>2</v>
      </c>
      <c r="N388" s="84"/>
      <c r="O388" s="84"/>
      <c r="P388" s="84"/>
      <c r="Q388" s="84">
        <v>0</v>
      </c>
      <c r="R388" s="84">
        <v>20</v>
      </c>
      <c r="S388" s="84">
        <v>25</v>
      </c>
      <c r="T388" s="84">
        <v>20</v>
      </c>
      <c r="U388" s="84">
        <v>25</v>
      </c>
      <c r="V388" s="84">
        <v>20</v>
      </c>
      <c r="W388" s="84">
        <v>20</v>
      </c>
      <c r="X388" s="84">
        <v>25</v>
      </c>
      <c r="Y388" s="84">
        <v>20</v>
      </c>
      <c r="Z388" s="123" t="s">
        <v>1121</v>
      </c>
      <c r="AA388" s="37">
        <f t="shared" ref="AA388" si="492">$I388*N388</f>
        <v>0</v>
      </c>
      <c r="AB388" s="37">
        <f t="shared" ref="AB388" si="493">$I388*O388</f>
        <v>0</v>
      </c>
      <c r="AC388" s="37">
        <f t="shared" ref="AC388" si="494">$I388*P388</f>
        <v>0</v>
      </c>
      <c r="AD388" s="37">
        <f t="shared" ref="AD388" si="495">$I388*Q388</f>
        <v>0</v>
      </c>
      <c r="AE388" s="37">
        <f t="shared" ref="AE388" si="496">$I388*R388</f>
        <v>2640</v>
      </c>
      <c r="AF388" s="37">
        <f t="shared" ref="AF388" si="497">$I388*S388</f>
        <v>3300</v>
      </c>
      <c r="AG388" s="37">
        <f t="shared" ref="AG388" si="498">$I388*T388</f>
        <v>2640</v>
      </c>
      <c r="AH388" s="37">
        <f t="shared" ref="AH388" si="499">$I388*U388</f>
        <v>3300</v>
      </c>
      <c r="AI388" s="37">
        <f t="shared" ref="AI388" si="500">$I388*V388</f>
        <v>2640</v>
      </c>
      <c r="AJ388" s="37">
        <f t="shared" ref="AJ388" si="501">$I388*W388</f>
        <v>2640</v>
      </c>
      <c r="AK388" s="37">
        <f t="shared" ref="AK388" si="502">$I388*X388</f>
        <v>3300</v>
      </c>
      <c r="AL388" s="37">
        <f t="shared" ref="AL388" si="503">$I388*Y388</f>
        <v>2640</v>
      </c>
      <c r="AM388" s="120">
        <v>1</v>
      </c>
    </row>
    <row r="389" spans="1:39" s="91" customFormat="1" ht="15.6">
      <c r="A389" s="96" t="s">
        <v>336</v>
      </c>
      <c r="B389" s="83" t="s">
        <v>89</v>
      </c>
      <c r="C389" s="88" t="s">
        <v>366</v>
      </c>
      <c r="D389" s="88" t="s">
        <v>1053</v>
      </c>
      <c r="E389" s="88" t="s">
        <v>367</v>
      </c>
      <c r="F389" s="83" t="s">
        <v>112</v>
      </c>
      <c r="G389" s="83" t="s">
        <v>73</v>
      </c>
      <c r="H389" s="124">
        <v>9</v>
      </c>
      <c r="I389" s="108">
        <v>168</v>
      </c>
      <c r="J389" s="96" t="s">
        <v>368</v>
      </c>
      <c r="K389" s="125" t="s">
        <v>369</v>
      </c>
      <c r="L389" s="88" t="s">
        <v>74</v>
      </c>
      <c r="M389" s="90" t="s">
        <v>2</v>
      </c>
      <c r="N389" s="84">
        <v>152</v>
      </c>
      <c r="O389" s="84">
        <v>152</v>
      </c>
      <c r="P389" s="84">
        <v>192</v>
      </c>
      <c r="Q389" s="84">
        <v>160</v>
      </c>
      <c r="R389" s="84">
        <v>152</v>
      </c>
      <c r="S389" s="84">
        <v>200</v>
      </c>
      <c r="T389" s="84">
        <v>152</v>
      </c>
      <c r="U389" s="84">
        <v>192</v>
      </c>
      <c r="V389" s="84">
        <v>152</v>
      </c>
      <c r="W389" s="84">
        <v>152</v>
      </c>
      <c r="X389" s="84">
        <v>192</v>
      </c>
      <c r="Y389" s="84">
        <v>152</v>
      </c>
      <c r="Z389" s="123"/>
      <c r="AA389" s="37">
        <f t="shared" si="444"/>
        <v>25536</v>
      </c>
      <c r="AB389" s="37">
        <f t="shared" si="445"/>
        <v>25536</v>
      </c>
      <c r="AC389" s="37">
        <f t="shared" si="446"/>
        <v>32256</v>
      </c>
      <c r="AD389" s="37">
        <f t="shared" si="447"/>
        <v>26880</v>
      </c>
      <c r="AE389" s="37">
        <f t="shared" si="448"/>
        <v>25536</v>
      </c>
      <c r="AF389" s="37">
        <f t="shared" si="449"/>
        <v>33600</v>
      </c>
      <c r="AG389" s="37">
        <f t="shared" si="450"/>
        <v>25536</v>
      </c>
      <c r="AH389" s="37">
        <f t="shared" si="451"/>
        <v>32256</v>
      </c>
      <c r="AI389" s="37">
        <f t="shared" si="452"/>
        <v>25536</v>
      </c>
      <c r="AJ389" s="37">
        <f t="shared" si="453"/>
        <v>25536</v>
      </c>
      <c r="AK389" s="37">
        <f t="shared" si="454"/>
        <v>32256</v>
      </c>
      <c r="AL389" s="37">
        <f t="shared" si="455"/>
        <v>25536</v>
      </c>
      <c r="AM389" s="120">
        <v>1</v>
      </c>
    </row>
    <row r="390" spans="1:39" s="91" customFormat="1" ht="15.6">
      <c r="A390" s="96" t="s">
        <v>336</v>
      </c>
      <c r="B390" s="83" t="s">
        <v>89</v>
      </c>
      <c r="C390" s="88" t="s">
        <v>543</v>
      </c>
      <c r="D390" s="129" t="s">
        <v>1094</v>
      </c>
      <c r="E390" s="38" t="s">
        <v>438</v>
      </c>
      <c r="F390" s="83" t="s">
        <v>29</v>
      </c>
      <c r="G390" s="83" t="s">
        <v>350</v>
      </c>
      <c r="H390" s="89">
        <v>10</v>
      </c>
      <c r="I390" s="108">
        <v>97</v>
      </c>
      <c r="J390" s="88" t="s">
        <v>368</v>
      </c>
      <c r="K390" s="88" t="s">
        <v>337</v>
      </c>
      <c r="L390" s="38" t="s">
        <v>34</v>
      </c>
      <c r="M390" s="90" t="s">
        <v>1</v>
      </c>
      <c r="N390" s="84">
        <v>165.87</v>
      </c>
      <c r="O390" s="84">
        <v>145</v>
      </c>
      <c r="P390" s="84">
        <v>209.51999999999998</v>
      </c>
      <c r="Q390" s="84">
        <v>174.6</v>
      </c>
      <c r="R390" s="84">
        <f>171-72</f>
        <v>99</v>
      </c>
      <c r="S390" s="84">
        <v>209.25</v>
      </c>
      <c r="T390" s="84">
        <v>167.4</v>
      </c>
      <c r="U390" s="84">
        <v>209.25</v>
      </c>
      <c r="V390" s="84">
        <v>159.03</v>
      </c>
      <c r="W390" s="84">
        <v>150.66</v>
      </c>
      <c r="X390" s="84">
        <v>209.25</v>
      </c>
      <c r="Y390" s="84">
        <v>159.03</v>
      </c>
      <c r="Z390" s="123"/>
      <c r="AA390" s="37">
        <f t="shared" si="444"/>
        <v>16089.390000000001</v>
      </c>
      <c r="AB390" s="37">
        <f t="shared" si="445"/>
        <v>14065</v>
      </c>
      <c r="AC390" s="37">
        <f t="shared" si="446"/>
        <v>20323.439999999999</v>
      </c>
      <c r="AD390" s="37">
        <f t="shared" si="447"/>
        <v>16936.2</v>
      </c>
      <c r="AE390" s="37">
        <f t="shared" si="448"/>
        <v>9603</v>
      </c>
      <c r="AF390" s="37">
        <f t="shared" si="449"/>
        <v>20297.25</v>
      </c>
      <c r="AG390" s="37">
        <f t="shared" si="450"/>
        <v>16237.800000000001</v>
      </c>
      <c r="AH390" s="37">
        <f t="shared" si="451"/>
        <v>20297.25</v>
      </c>
      <c r="AI390" s="37">
        <f t="shared" si="452"/>
        <v>15425.91</v>
      </c>
      <c r="AJ390" s="37">
        <f t="shared" si="453"/>
        <v>14614.02</v>
      </c>
      <c r="AK390" s="37">
        <f t="shared" si="454"/>
        <v>20297.25</v>
      </c>
      <c r="AL390" s="37">
        <f t="shared" si="455"/>
        <v>15425.91</v>
      </c>
      <c r="AM390" s="120">
        <v>1</v>
      </c>
    </row>
    <row r="391" spans="1:39" s="91" customFormat="1" ht="15.6">
      <c r="A391" s="96" t="s">
        <v>336</v>
      </c>
      <c r="B391" s="83" t="s">
        <v>89</v>
      </c>
      <c r="C391" s="38" t="s">
        <v>544</v>
      </c>
      <c r="D391" s="38" t="s">
        <v>1054</v>
      </c>
      <c r="E391" s="88" t="s">
        <v>439</v>
      </c>
      <c r="F391" s="83" t="s">
        <v>29</v>
      </c>
      <c r="G391" s="83" t="s">
        <v>90</v>
      </c>
      <c r="H391" s="89">
        <v>8</v>
      </c>
      <c r="I391" s="108">
        <v>41</v>
      </c>
      <c r="J391" s="88" t="s">
        <v>368</v>
      </c>
      <c r="K391" s="88" t="s">
        <v>337</v>
      </c>
      <c r="L391" s="38" t="s">
        <v>34</v>
      </c>
      <c r="M391" s="90" t="s">
        <v>1</v>
      </c>
      <c r="N391" s="36">
        <v>174.6</v>
      </c>
      <c r="O391" s="36">
        <v>165.87</v>
      </c>
      <c r="P391" s="36">
        <v>200.79</v>
      </c>
      <c r="Q391" s="36">
        <v>174.6</v>
      </c>
      <c r="R391" s="36">
        <v>159.03</v>
      </c>
      <c r="S391" s="84">
        <v>209.25</v>
      </c>
      <c r="T391" s="36">
        <v>167.4</v>
      </c>
      <c r="U391" s="36">
        <v>209.25</v>
      </c>
      <c r="V391" s="36">
        <v>159.03</v>
      </c>
      <c r="W391" s="36">
        <v>150.66</v>
      </c>
      <c r="X391" s="36">
        <v>200.88000000000002</v>
      </c>
      <c r="Y391" s="36">
        <v>159.03</v>
      </c>
      <c r="Z391" s="123"/>
      <c r="AA391" s="37">
        <f t="shared" si="444"/>
        <v>7158.5999999999995</v>
      </c>
      <c r="AB391" s="37">
        <f t="shared" si="445"/>
        <v>6800.67</v>
      </c>
      <c r="AC391" s="37">
        <f t="shared" si="446"/>
        <v>8232.39</v>
      </c>
      <c r="AD391" s="37">
        <f t="shared" si="447"/>
        <v>7158.5999999999995</v>
      </c>
      <c r="AE391" s="37">
        <f t="shared" si="448"/>
        <v>6520.2300000000005</v>
      </c>
      <c r="AF391" s="37">
        <f t="shared" si="449"/>
        <v>8579.25</v>
      </c>
      <c r="AG391" s="37">
        <f t="shared" si="450"/>
        <v>6863.4000000000005</v>
      </c>
      <c r="AH391" s="37">
        <f t="shared" si="451"/>
        <v>8579.25</v>
      </c>
      <c r="AI391" s="37">
        <f t="shared" si="452"/>
        <v>6520.2300000000005</v>
      </c>
      <c r="AJ391" s="37">
        <f t="shared" si="453"/>
        <v>6177.0599999999995</v>
      </c>
      <c r="AK391" s="37">
        <f t="shared" si="454"/>
        <v>8236.0800000000017</v>
      </c>
      <c r="AL391" s="37">
        <f t="shared" si="455"/>
        <v>6520.2300000000005</v>
      </c>
      <c r="AM391" s="120">
        <v>1</v>
      </c>
    </row>
    <row r="392" spans="1:39" ht="15.6">
      <c r="A392" s="39" t="s">
        <v>336</v>
      </c>
      <c r="B392" s="40" t="s">
        <v>89</v>
      </c>
      <c r="C392" s="41" t="s">
        <v>4</v>
      </c>
      <c r="D392" s="41" t="s">
        <v>4</v>
      </c>
      <c r="E392" s="41" t="s">
        <v>4</v>
      </c>
      <c r="F392" s="40" t="s">
        <v>4</v>
      </c>
      <c r="G392" s="40" t="s">
        <v>4</v>
      </c>
      <c r="H392" s="42"/>
      <c r="I392" s="108"/>
      <c r="J392" s="41" t="s">
        <v>4</v>
      </c>
      <c r="K392" s="41" t="s">
        <v>4</v>
      </c>
      <c r="L392" s="41" t="s">
        <v>4</v>
      </c>
      <c r="M392" s="41" t="s">
        <v>4</v>
      </c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2"/>
      <c r="AA392" s="44">
        <f t="shared" ref="AA392:AL392" si="504">((SUMIFS(AA1:AA391,$B$1:$B$391,"P6TY0",$F$1:$F$391,"India")*0.15)+SUMIFS(AA1:AA391,$B$1:$B$391,"P6TY0",$F$1:$F$391,"PH")*0.15)</f>
        <v>47959.948500000013</v>
      </c>
      <c r="AB392" s="44">
        <f t="shared" si="504"/>
        <v>45338.138249999996</v>
      </c>
      <c r="AC392" s="44">
        <f t="shared" si="504"/>
        <v>57102.893249999994</v>
      </c>
      <c r="AD392" s="44">
        <f t="shared" si="504"/>
        <v>47816.175750000009</v>
      </c>
      <c r="AE392" s="44">
        <f t="shared" si="504"/>
        <v>42390.849000000038</v>
      </c>
      <c r="AF392" s="44">
        <f t="shared" si="504"/>
        <v>59172.543749999997</v>
      </c>
      <c r="AG392" s="44">
        <f t="shared" si="504"/>
        <v>48556.395000000004</v>
      </c>
      <c r="AH392" s="44">
        <f t="shared" si="504"/>
        <v>60697.35</v>
      </c>
      <c r="AI392" s="44">
        <f t="shared" si="504"/>
        <v>46164.694500000034</v>
      </c>
      <c r="AJ392" s="44">
        <f t="shared" si="504"/>
        <v>43765.56900000001</v>
      </c>
      <c r="AK392" s="44">
        <f t="shared" si="504"/>
        <v>59374.898250000013</v>
      </c>
      <c r="AL392" s="44">
        <f t="shared" si="504"/>
        <v>46164.694500000034</v>
      </c>
      <c r="AM392" s="45"/>
    </row>
    <row r="393" spans="1:39" ht="15.6">
      <c r="A393" s="39" t="s">
        <v>336</v>
      </c>
      <c r="B393" s="40" t="s">
        <v>89</v>
      </c>
      <c r="C393" s="41" t="s">
        <v>5</v>
      </c>
      <c r="D393" s="41" t="s">
        <v>5</v>
      </c>
      <c r="E393" s="41" t="s">
        <v>5</v>
      </c>
      <c r="F393" s="40" t="s">
        <v>5</v>
      </c>
      <c r="G393" s="40" t="s">
        <v>5</v>
      </c>
      <c r="H393" s="42"/>
      <c r="I393" s="108"/>
      <c r="J393" s="41" t="s">
        <v>5</v>
      </c>
      <c r="K393" s="41" t="s">
        <v>5</v>
      </c>
      <c r="L393" s="41" t="s">
        <v>5</v>
      </c>
      <c r="M393" s="41" t="s">
        <v>5</v>
      </c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2"/>
      <c r="AA393" s="44">
        <v>8000</v>
      </c>
      <c r="AB393" s="44">
        <v>8000</v>
      </c>
      <c r="AC393" s="44">
        <v>10000</v>
      </c>
      <c r="AD393" s="44">
        <v>8000</v>
      </c>
      <c r="AE393" s="44">
        <v>8000</v>
      </c>
      <c r="AF393" s="44">
        <v>10000</v>
      </c>
      <c r="AG393" s="44">
        <v>8000</v>
      </c>
      <c r="AH393" s="44">
        <v>8000</v>
      </c>
      <c r="AI393" s="44">
        <v>10000</v>
      </c>
      <c r="AJ393" s="44">
        <v>8000</v>
      </c>
      <c r="AK393" s="44">
        <v>8000</v>
      </c>
      <c r="AL393" s="44">
        <v>10000</v>
      </c>
      <c r="AM393" s="45"/>
    </row>
    <row r="394" spans="1:39" ht="15.6">
      <c r="A394" s="39" t="s">
        <v>336</v>
      </c>
      <c r="B394" s="40" t="s">
        <v>89</v>
      </c>
      <c r="C394" s="41" t="s">
        <v>6</v>
      </c>
      <c r="D394" s="41" t="s">
        <v>6</v>
      </c>
      <c r="E394" s="41" t="s">
        <v>6</v>
      </c>
      <c r="F394" s="40" t="s">
        <v>6</v>
      </c>
      <c r="G394" s="40" t="s">
        <v>6</v>
      </c>
      <c r="H394" s="42"/>
      <c r="I394" s="108"/>
      <c r="J394" s="41" t="s">
        <v>6</v>
      </c>
      <c r="K394" s="41" t="s">
        <v>6</v>
      </c>
      <c r="L394" s="41" t="s">
        <v>6</v>
      </c>
      <c r="M394" s="41" t="s">
        <v>6</v>
      </c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2"/>
      <c r="AA394" s="44">
        <f>54*35*4*0.6</f>
        <v>4536</v>
      </c>
      <c r="AB394" s="44">
        <f t="shared" ref="AB394:AJ394" si="505">54*35*4*0.6</f>
        <v>4536</v>
      </c>
      <c r="AC394" s="44">
        <f>54*35*5*0.6</f>
        <v>5670</v>
      </c>
      <c r="AD394" s="44">
        <f t="shared" si="505"/>
        <v>4536</v>
      </c>
      <c r="AE394" s="44">
        <f t="shared" si="505"/>
        <v>4536</v>
      </c>
      <c r="AF394" s="44">
        <f>54*35*5*0.6</f>
        <v>5670</v>
      </c>
      <c r="AG394" s="44">
        <f t="shared" si="505"/>
        <v>4536</v>
      </c>
      <c r="AH394" s="44">
        <f>54*35*5*0.6</f>
        <v>5670</v>
      </c>
      <c r="AI394" s="44">
        <f>54*35*4*0.6</f>
        <v>4536</v>
      </c>
      <c r="AJ394" s="44">
        <f t="shared" si="505"/>
        <v>4536</v>
      </c>
      <c r="AK394" s="44">
        <f>54*35*5*0.6</f>
        <v>5670</v>
      </c>
      <c r="AL394" s="44">
        <f>54*35*4*0.6</f>
        <v>4536</v>
      </c>
      <c r="AM394" s="45"/>
    </row>
    <row r="395" spans="1:39" hidden="1">
      <c r="N395" s="107"/>
      <c r="O395" s="107"/>
      <c r="P395" s="107"/>
      <c r="Q395" s="107"/>
    </row>
    <row r="396" spans="1:39" hidden="1">
      <c r="O396" s="107"/>
    </row>
    <row r="402" spans="6:6">
      <c r="F402" s="47" t="s">
        <v>279</v>
      </c>
    </row>
    <row r="404" spans="6:6">
      <c r="F404" s="114"/>
    </row>
  </sheetData>
  <autoFilter ref="A1:AM394" xr:uid="{00000000-0001-0000-0100-000000000000}"/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73"/>
  <sheetViews>
    <sheetView topLeftCell="A43" zoomScale="80" zoomScaleNormal="80" workbookViewId="0">
      <selection activeCell="H9" sqref="H9"/>
    </sheetView>
  </sheetViews>
  <sheetFormatPr defaultColWidth="16" defaultRowHeight="15"/>
  <cols>
    <col min="1" max="1" width="7.5546875" style="2" customWidth="1"/>
    <col min="2" max="2" width="36" style="2" customWidth="1"/>
    <col min="3" max="16384" width="16" style="2"/>
  </cols>
  <sheetData>
    <row r="2" spans="2:16" ht="15.6" thickBot="1"/>
    <row r="3" spans="2:16">
      <c r="B3" s="7">
        <v>2025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2:16" s="24" customFormat="1">
      <c r="B4" s="81" t="s">
        <v>440</v>
      </c>
      <c r="C4" s="82" t="s">
        <v>441</v>
      </c>
      <c r="D4" s="82" t="s">
        <v>442</v>
      </c>
      <c r="E4" s="48" t="s">
        <v>443</v>
      </c>
      <c r="F4" s="82" t="s">
        <v>444</v>
      </c>
      <c r="G4" s="82" t="s">
        <v>445</v>
      </c>
      <c r="H4" s="48" t="s">
        <v>446</v>
      </c>
      <c r="I4" s="82" t="s">
        <v>447</v>
      </c>
      <c r="J4" s="48" t="s">
        <v>448</v>
      </c>
      <c r="K4" s="82" t="s">
        <v>449</v>
      </c>
      <c r="L4" s="82" t="s">
        <v>450</v>
      </c>
      <c r="M4" s="48" t="s">
        <v>451</v>
      </c>
      <c r="N4" s="82" t="s">
        <v>452</v>
      </c>
      <c r="P4" s="24">
        <f>45*5</f>
        <v>225</v>
      </c>
    </row>
    <row r="5" spans="2:16">
      <c r="B5" s="10" t="s">
        <v>344</v>
      </c>
      <c r="C5" s="3">
        <f>44*4</f>
        <v>176</v>
      </c>
      <c r="D5" s="3">
        <f>44*4</f>
        <v>176</v>
      </c>
      <c r="E5" s="3">
        <f>44*5</f>
        <v>220</v>
      </c>
      <c r="F5" s="3">
        <f>44*4</f>
        <v>176</v>
      </c>
      <c r="G5" s="3">
        <f>44*4</f>
        <v>176</v>
      </c>
      <c r="H5" s="3">
        <f>44*5</f>
        <v>220</v>
      </c>
      <c r="I5" s="3">
        <f>44*4</f>
        <v>176</v>
      </c>
      <c r="J5" s="3">
        <f>44*5</f>
        <v>220</v>
      </c>
      <c r="K5" s="3">
        <f>44*4</f>
        <v>176</v>
      </c>
      <c r="L5" s="3">
        <f>44*4</f>
        <v>176</v>
      </c>
      <c r="M5" s="3">
        <f>44*5</f>
        <v>220</v>
      </c>
      <c r="N5" s="3">
        <f>44*4</f>
        <v>176</v>
      </c>
      <c r="P5" s="2">
        <f>P4*7%</f>
        <v>15.750000000000002</v>
      </c>
    </row>
    <row r="6" spans="2:16">
      <c r="B6" s="10" t="s">
        <v>453</v>
      </c>
      <c r="C6" s="3">
        <f>40*4</f>
        <v>160</v>
      </c>
      <c r="D6" s="3">
        <f>40*4</f>
        <v>160</v>
      </c>
      <c r="E6" s="3">
        <f>40*5</f>
        <v>200</v>
      </c>
      <c r="F6" s="3">
        <f>40*4</f>
        <v>160</v>
      </c>
      <c r="G6" s="3">
        <f>40*4</f>
        <v>160</v>
      </c>
      <c r="H6" s="3">
        <f>40*5</f>
        <v>200</v>
      </c>
      <c r="I6" s="3">
        <f>40*4</f>
        <v>160</v>
      </c>
      <c r="J6" s="3">
        <f>40*5</f>
        <v>200</v>
      </c>
      <c r="K6" s="3">
        <f>40*4</f>
        <v>160</v>
      </c>
      <c r="L6" s="3">
        <f>40*4</f>
        <v>160</v>
      </c>
      <c r="M6" s="3">
        <f>40*5</f>
        <v>200</v>
      </c>
      <c r="N6" s="3">
        <f>40*4</f>
        <v>160</v>
      </c>
      <c r="P6" s="2">
        <f>P4-P5</f>
        <v>209.25</v>
      </c>
    </row>
    <row r="7" spans="2:16">
      <c r="B7" s="10" t="s">
        <v>637</v>
      </c>
      <c r="C7" s="3">
        <f t="shared" ref="C7:N12" si="0">45*4</f>
        <v>180</v>
      </c>
      <c r="D7" s="3">
        <f t="shared" si="0"/>
        <v>180</v>
      </c>
      <c r="E7" s="3">
        <v>225</v>
      </c>
      <c r="F7" s="3">
        <f t="shared" si="0"/>
        <v>180</v>
      </c>
      <c r="G7" s="3">
        <f t="shared" si="0"/>
        <v>180</v>
      </c>
      <c r="H7" s="3">
        <v>225</v>
      </c>
      <c r="I7" s="3">
        <f t="shared" si="0"/>
        <v>180</v>
      </c>
      <c r="J7" s="3">
        <v>225</v>
      </c>
      <c r="K7" s="3">
        <f t="shared" si="0"/>
        <v>180</v>
      </c>
      <c r="L7" s="3">
        <f t="shared" si="0"/>
        <v>180</v>
      </c>
      <c r="M7" s="3">
        <v>225</v>
      </c>
      <c r="N7" s="3">
        <f t="shared" si="0"/>
        <v>180</v>
      </c>
    </row>
    <row r="8" spans="2:16">
      <c r="B8" s="10" t="s">
        <v>454</v>
      </c>
      <c r="C8" s="3">
        <f t="shared" si="0"/>
        <v>180</v>
      </c>
      <c r="D8" s="3">
        <f t="shared" si="0"/>
        <v>180</v>
      </c>
      <c r="E8" s="3">
        <v>225</v>
      </c>
      <c r="F8" s="3">
        <f t="shared" si="0"/>
        <v>180</v>
      </c>
      <c r="G8" s="3">
        <f t="shared" si="0"/>
        <v>180</v>
      </c>
      <c r="H8" s="3">
        <v>225</v>
      </c>
      <c r="I8" s="3">
        <f t="shared" si="0"/>
        <v>180</v>
      </c>
      <c r="J8" s="3">
        <v>225</v>
      </c>
      <c r="K8" s="3">
        <f t="shared" si="0"/>
        <v>180</v>
      </c>
      <c r="L8" s="3">
        <f t="shared" si="0"/>
        <v>180</v>
      </c>
      <c r="M8" s="3">
        <v>225</v>
      </c>
      <c r="N8" s="3">
        <f t="shared" si="0"/>
        <v>180</v>
      </c>
    </row>
    <row r="9" spans="2:16">
      <c r="B9" s="10" t="s">
        <v>455</v>
      </c>
      <c r="C9" s="3">
        <f t="shared" si="0"/>
        <v>180</v>
      </c>
      <c r="D9" s="3">
        <f t="shared" si="0"/>
        <v>180</v>
      </c>
      <c r="E9" s="3">
        <v>225</v>
      </c>
      <c r="F9" s="3">
        <f t="shared" si="0"/>
        <v>180</v>
      </c>
      <c r="G9" s="3">
        <f t="shared" si="0"/>
        <v>180</v>
      </c>
      <c r="H9" s="3">
        <v>225</v>
      </c>
      <c r="I9" s="3">
        <f t="shared" si="0"/>
        <v>180</v>
      </c>
      <c r="J9" s="3">
        <v>225</v>
      </c>
      <c r="K9" s="3">
        <f t="shared" si="0"/>
        <v>180</v>
      </c>
      <c r="L9" s="3">
        <f t="shared" si="0"/>
        <v>180</v>
      </c>
      <c r="M9" s="3">
        <v>225</v>
      </c>
      <c r="N9" s="3">
        <f t="shared" si="0"/>
        <v>180</v>
      </c>
    </row>
    <row r="10" spans="2:16">
      <c r="B10" s="11" t="s">
        <v>456</v>
      </c>
      <c r="C10" s="3">
        <f t="shared" si="0"/>
        <v>180</v>
      </c>
      <c r="D10" s="3">
        <f t="shared" si="0"/>
        <v>180</v>
      </c>
      <c r="E10" s="3">
        <v>225</v>
      </c>
      <c r="F10" s="3">
        <f t="shared" si="0"/>
        <v>180</v>
      </c>
      <c r="G10" s="3">
        <f t="shared" si="0"/>
        <v>180</v>
      </c>
      <c r="H10" s="3">
        <v>225</v>
      </c>
      <c r="I10" s="3">
        <f t="shared" si="0"/>
        <v>180</v>
      </c>
      <c r="J10" s="3">
        <v>225</v>
      </c>
      <c r="K10" s="3">
        <f t="shared" si="0"/>
        <v>180</v>
      </c>
      <c r="L10" s="3">
        <f t="shared" si="0"/>
        <v>180</v>
      </c>
      <c r="M10" s="3">
        <v>225</v>
      </c>
      <c r="N10" s="3">
        <f t="shared" si="0"/>
        <v>180</v>
      </c>
    </row>
    <row r="11" spans="2:16">
      <c r="B11" s="11" t="s">
        <v>457</v>
      </c>
      <c r="C11" s="20">
        <v>180</v>
      </c>
      <c r="D11" s="20">
        <v>180</v>
      </c>
      <c r="E11" s="20">
        <v>225</v>
      </c>
      <c r="F11" s="20">
        <v>180</v>
      </c>
      <c r="G11" s="20">
        <v>180</v>
      </c>
      <c r="H11" s="20">
        <v>225</v>
      </c>
      <c r="I11" s="20">
        <v>180</v>
      </c>
      <c r="J11" s="20">
        <v>225</v>
      </c>
      <c r="K11" s="20">
        <v>180</v>
      </c>
      <c r="L11" s="20">
        <v>180</v>
      </c>
      <c r="M11" s="20">
        <v>225</v>
      </c>
      <c r="N11" s="20">
        <v>180</v>
      </c>
    </row>
    <row r="12" spans="2:16" ht="15.6" thickBot="1">
      <c r="B12" s="12" t="s">
        <v>68</v>
      </c>
      <c r="C12" s="5">
        <f t="shared" si="0"/>
        <v>180</v>
      </c>
      <c r="D12" s="5">
        <f t="shared" si="0"/>
        <v>180</v>
      </c>
      <c r="E12" s="5">
        <v>225</v>
      </c>
      <c r="F12" s="5">
        <f t="shared" si="0"/>
        <v>180</v>
      </c>
      <c r="G12" s="5">
        <f t="shared" si="0"/>
        <v>180</v>
      </c>
      <c r="H12" s="5">
        <v>225</v>
      </c>
      <c r="I12" s="5">
        <f t="shared" si="0"/>
        <v>180</v>
      </c>
      <c r="J12" s="5">
        <v>225</v>
      </c>
      <c r="K12" s="5">
        <f t="shared" si="0"/>
        <v>180</v>
      </c>
      <c r="L12" s="5">
        <f t="shared" si="0"/>
        <v>180</v>
      </c>
      <c r="M12" s="5">
        <v>225</v>
      </c>
      <c r="N12" s="5">
        <f t="shared" si="0"/>
        <v>180</v>
      </c>
    </row>
    <row r="13" spans="2:16" ht="15.6" thickBot="1"/>
    <row r="14" spans="2:16">
      <c r="B14" s="13" t="s">
        <v>458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spans="2:16">
      <c r="B15" s="16" t="s">
        <v>458</v>
      </c>
      <c r="C15" s="17" t="s">
        <v>441</v>
      </c>
      <c r="D15" s="17" t="s">
        <v>442</v>
      </c>
      <c r="E15" s="17" t="s">
        <v>443</v>
      </c>
      <c r="F15" s="17" t="s">
        <v>444</v>
      </c>
      <c r="G15" s="17" t="s">
        <v>445</v>
      </c>
      <c r="H15" s="17" t="s">
        <v>446</v>
      </c>
      <c r="I15" s="17" t="s">
        <v>447</v>
      </c>
      <c r="J15" s="17" t="s">
        <v>448</v>
      </c>
      <c r="K15" s="17" t="s">
        <v>449</v>
      </c>
      <c r="L15" s="17" t="s">
        <v>450</v>
      </c>
      <c r="M15" s="17" t="s">
        <v>451</v>
      </c>
      <c r="N15" s="18" t="s">
        <v>452</v>
      </c>
    </row>
    <row r="16" spans="2:16">
      <c r="B16" s="10" t="s">
        <v>344</v>
      </c>
      <c r="C16" s="3">
        <v>9</v>
      </c>
      <c r="D16" s="3">
        <v>9</v>
      </c>
      <c r="E16" s="3">
        <v>9</v>
      </c>
      <c r="F16" s="3"/>
      <c r="G16" s="3">
        <v>9</v>
      </c>
      <c r="H16" s="3"/>
      <c r="I16" s="3">
        <v>9</v>
      </c>
      <c r="J16" s="3">
        <v>9</v>
      </c>
      <c r="K16" s="3">
        <v>9</v>
      </c>
      <c r="L16" s="3">
        <v>9</v>
      </c>
      <c r="M16" s="3">
        <v>9</v>
      </c>
      <c r="N16" s="19">
        <v>9</v>
      </c>
    </row>
    <row r="17" spans="1:14">
      <c r="B17" s="10" t="s">
        <v>453</v>
      </c>
      <c r="C17" s="3">
        <v>8</v>
      </c>
      <c r="D17" s="3">
        <v>8</v>
      </c>
      <c r="E17" s="3">
        <v>8</v>
      </c>
      <c r="F17" s="3"/>
      <c r="G17" s="3">
        <v>8</v>
      </c>
      <c r="H17" s="3"/>
      <c r="I17" s="3">
        <v>8</v>
      </c>
      <c r="J17" s="3">
        <v>8</v>
      </c>
      <c r="K17" s="3">
        <v>8</v>
      </c>
      <c r="L17" s="3">
        <v>8</v>
      </c>
      <c r="M17" s="3">
        <v>8</v>
      </c>
      <c r="N17" s="19">
        <v>8</v>
      </c>
    </row>
    <row r="18" spans="1:14">
      <c r="B18" s="10" t="s">
        <v>637</v>
      </c>
      <c r="C18" s="3">
        <v>9</v>
      </c>
      <c r="D18" s="3">
        <v>9</v>
      </c>
      <c r="E18" s="3">
        <v>9</v>
      </c>
      <c r="F18" s="3"/>
      <c r="G18" s="3">
        <v>9</v>
      </c>
      <c r="H18" s="3"/>
      <c r="I18" s="3">
        <v>9</v>
      </c>
      <c r="J18" s="3">
        <v>9</v>
      </c>
      <c r="K18" s="3">
        <v>9</v>
      </c>
      <c r="L18" s="3">
        <v>9</v>
      </c>
      <c r="M18" s="3">
        <v>9</v>
      </c>
      <c r="N18" s="19">
        <v>9</v>
      </c>
    </row>
    <row r="19" spans="1:14">
      <c r="B19" s="10" t="s">
        <v>454</v>
      </c>
      <c r="C19" s="3">
        <v>9</v>
      </c>
      <c r="D19" s="3">
        <v>9</v>
      </c>
      <c r="E19" s="3">
        <v>9</v>
      </c>
      <c r="F19" s="3">
        <v>9</v>
      </c>
      <c r="G19" s="3">
        <v>9</v>
      </c>
      <c r="H19" s="3">
        <v>9</v>
      </c>
      <c r="I19" s="3"/>
      <c r="J19" s="3"/>
      <c r="K19" s="3">
        <v>9</v>
      </c>
      <c r="L19" s="3">
        <v>18</v>
      </c>
      <c r="M19" s="3"/>
      <c r="N19" s="19">
        <v>9</v>
      </c>
    </row>
    <row r="20" spans="1:14">
      <c r="B20" s="10" t="s">
        <v>455</v>
      </c>
      <c r="C20" s="3">
        <v>9</v>
      </c>
      <c r="D20" s="3">
        <v>9</v>
      </c>
      <c r="E20" s="3">
        <v>9</v>
      </c>
      <c r="F20" s="3"/>
      <c r="G20" s="3">
        <v>9</v>
      </c>
      <c r="H20" s="3">
        <v>18</v>
      </c>
      <c r="I20" s="3"/>
      <c r="J20" s="3"/>
      <c r="K20" s="3">
        <v>9</v>
      </c>
      <c r="L20" s="3">
        <v>18</v>
      </c>
      <c r="M20" s="3"/>
      <c r="N20" s="19">
        <v>9</v>
      </c>
    </row>
    <row r="21" spans="1:14">
      <c r="B21" s="11" t="s">
        <v>456</v>
      </c>
      <c r="C21" s="20"/>
      <c r="D21" s="20">
        <v>9</v>
      </c>
      <c r="E21" s="20">
        <v>18</v>
      </c>
      <c r="F21" s="20"/>
      <c r="G21" s="20">
        <v>9</v>
      </c>
      <c r="H21" s="20">
        <v>9</v>
      </c>
      <c r="I21" s="20"/>
      <c r="J21" s="20"/>
      <c r="K21" s="20">
        <v>9</v>
      </c>
      <c r="L21" s="20">
        <v>18</v>
      </c>
      <c r="M21" s="20">
        <v>9</v>
      </c>
      <c r="N21" s="21">
        <v>9</v>
      </c>
    </row>
    <row r="22" spans="1:14">
      <c r="B22" s="11" t="s">
        <v>457</v>
      </c>
      <c r="C22" s="3">
        <v>8</v>
      </c>
      <c r="D22" s="3">
        <v>8</v>
      </c>
      <c r="E22" s="3">
        <v>8</v>
      </c>
      <c r="F22" s="3">
        <v>8</v>
      </c>
      <c r="G22" s="3">
        <v>8</v>
      </c>
      <c r="H22" s="3">
        <v>16</v>
      </c>
      <c r="I22" s="3"/>
      <c r="J22" s="3"/>
      <c r="K22" s="3">
        <v>8</v>
      </c>
      <c r="L22" s="3">
        <v>16</v>
      </c>
      <c r="M22" s="3">
        <v>8</v>
      </c>
      <c r="N22" s="19">
        <v>8</v>
      </c>
    </row>
    <row r="23" spans="1:14" ht="15.6" thickBot="1">
      <c r="A23" s="2" t="s">
        <v>279</v>
      </c>
      <c r="B23" s="12" t="s">
        <v>68</v>
      </c>
      <c r="C23" s="5">
        <v>9</v>
      </c>
      <c r="D23" s="5">
        <v>9</v>
      </c>
      <c r="E23" s="5"/>
      <c r="F23" s="5">
        <v>27</v>
      </c>
      <c r="G23" s="5">
        <v>9</v>
      </c>
      <c r="H23" s="5">
        <v>9</v>
      </c>
      <c r="I23" s="5"/>
      <c r="J23" s="5">
        <v>18</v>
      </c>
      <c r="K23" s="5">
        <v>9</v>
      </c>
      <c r="L23" s="5"/>
      <c r="M23" s="5"/>
      <c r="N23" s="22">
        <v>27</v>
      </c>
    </row>
    <row r="24" spans="1:14" ht="15.6" thickBot="1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6" thickBot="1">
      <c r="B25" s="133" t="s">
        <v>459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5"/>
    </row>
    <row r="26" spans="1:14">
      <c r="B26" s="23" t="s">
        <v>460</v>
      </c>
      <c r="C26" s="14" t="s">
        <v>441</v>
      </c>
      <c r="D26" s="14" t="s">
        <v>442</v>
      </c>
      <c r="E26" s="14" t="s">
        <v>443</v>
      </c>
      <c r="F26" s="14" t="s">
        <v>444</v>
      </c>
      <c r="G26" s="14" t="s">
        <v>445</v>
      </c>
      <c r="H26" s="14" t="s">
        <v>446</v>
      </c>
      <c r="I26" s="14" t="s">
        <v>447</v>
      </c>
      <c r="J26" s="14" t="s">
        <v>448</v>
      </c>
      <c r="K26" s="14" t="s">
        <v>449</v>
      </c>
      <c r="L26" s="14" t="s">
        <v>450</v>
      </c>
      <c r="M26" s="14" t="s">
        <v>451</v>
      </c>
      <c r="N26" s="15" t="s">
        <v>452</v>
      </c>
    </row>
    <row r="27" spans="1:14">
      <c r="A27" s="6" t="s">
        <v>279</v>
      </c>
      <c r="B27" s="10" t="s">
        <v>344</v>
      </c>
      <c r="C27" s="3">
        <f t="shared" ref="C27:N27" si="1">C5-C16</f>
        <v>167</v>
      </c>
      <c r="D27" s="3">
        <f t="shared" si="1"/>
        <v>167</v>
      </c>
      <c r="E27" s="3">
        <f t="shared" si="1"/>
        <v>211</v>
      </c>
      <c r="F27" s="3">
        <f t="shared" si="1"/>
        <v>176</v>
      </c>
      <c r="G27" s="3">
        <f t="shared" si="1"/>
        <v>167</v>
      </c>
      <c r="H27" s="3">
        <f t="shared" si="1"/>
        <v>220</v>
      </c>
      <c r="I27" s="3">
        <f t="shared" si="1"/>
        <v>167</v>
      </c>
      <c r="J27" s="3">
        <f t="shared" si="1"/>
        <v>211</v>
      </c>
      <c r="K27" s="3">
        <f t="shared" si="1"/>
        <v>167</v>
      </c>
      <c r="L27" s="3">
        <f t="shared" si="1"/>
        <v>167</v>
      </c>
      <c r="M27" s="3">
        <f t="shared" si="1"/>
        <v>211</v>
      </c>
      <c r="N27" s="19">
        <f t="shared" si="1"/>
        <v>167</v>
      </c>
    </row>
    <row r="28" spans="1:14">
      <c r="A28" s="6"/>
      <c r="B28" s="10" t="s">
        <v>453</v>
      </c>
      <c r="C28" s="3">
        <f t="shared" ref="C28:N29" si="2">C6-C17</f>
        <v>152</v>
      </c>
      <c r="D28" s="3">
        <f t="shared" si="2"/>
        <v>152</v>
      </c>
      <c r="E28" s="3">
        <f t="shared" si="2"/>
        <v>192</v>
      </c>
      <c r="F28" s="3">
        <f t="shared" si="2"/>
        <v>160</v>
      </c>
      <c r="G28" s="3">
        <f t="shared" si="2"/>
        <v>152</v>
      </c>
      <c r="H28" s="3">
        <f t="shared" si="2"/>
        <v>200</v>
      </c>
      <c r="I28" s="3">
        <f t="shared" si="2"/>
        <v>152</v>
      </c>
      <c r="J28" s="3">
        <f t="shared" si="2"/>
        <v>192</v>
      </c>
      <c r="K28" s="3">
        <f t="shared" si="2"/>
        <v>152</v>
      </c>
      <c r="L28" s="3">
        <f t="shared" si="2"/>
        <v>152</v>
      </c>
      <c r="M28" s="3">
        <f t="shared" si="2"/>
        <v>192</v>
      </c>
      <c r="N28" s="19">
        <f t="shared" si="2"/>
        <v>152</v>
      </c>
    </row>
    <row r="29" spans="1:14">
      <c r="A29" s="6"/>
      <c r="B29" s="10" t="s">
        <v>637</v>
      </c>
      <c r="C29" s="3">
        <f t="shared" si="2"/>
        <v>171</v>
      </c>
      <c r="D29" s="3">
        <f t="shared" si="2"/>
        <v>171</v>
      </c>
      <c r="E29" s="3">
        <f t="shared" si="2"/>
        <v>216</v>
      </c>
      <c r="F29" s="3">
        <f t="shared" si="2"/>
        <v>180</v>
      </c>
      <c r="G29" s="3">
        <f t="shared" si="2"/>
        <v>171</v>
      </c>
      <c r="H29" s="3">
        <f t="shared" si="2"/>
        <v>225</v>
      </c>
      <c r="I29" s="3">
        <f t="shared" si="2"/>
        <v>171</v>
      </c>
      <c r="J29" s="3">
        <f t="shared" si="2"/>
        <v>216</v>
      </c>
      <c r="K29" s="3">
        <f t="shared" si="2"/>
        <v>171</v>
      </c>
      <c r="L29" s="3">
        <f t="shared" si="2"/>
        <v>171</v>
      </c>
      <c r="M29" s="3">
        <f t="shared" si="2"/>
        <v>216</v>
      </c>
      <c r="N29" s="19">
        <f t="shared" si="2"/>
        <v>171</v>
      </c>
    </row>
    <row r="30" spans="1:14">
      <c r="A30" s="6"/>
      <c r="B30" s="10" t="s">
        <v>454</v>
      </c>
      <c r="C30" s="3">
        <f t="shared" ref="C30:N30" si="3">C8-C19</f>
        <v>171</v>
      </c>
      <c r="D30" s="3">
        <f t="shared" si="3"/>
        <v>171</v>
      </c>
      <c r="E30" s="3">
        <f t="shared" si="3"/>
        <v>216</v>
      </c>
      <c r="F30" s="3">
        <f t="shared" si="3"/>
        <v>171</v>
      </c>
      <c r="G30" s="3">
        <f t="shared" si="3"/>
        <v>171</v>
      </c>
      <c r="H30" s="3">
        <f t="shared" si="3"/>
        <v>216</v>
      </c>
      <c r="I30" s="3">
        <f t="shared" si="3"/>
        <v>180</v>
      </c>
      <c r="J30" s="3">
        <f t="shared" si="3"/>
        <v>225</v>
      </c>
      <c r="K30" s="3">
        <f t="shared" si="3"/>
        <v>171</v>
      </c>
      <c r="L30" s="3">
        <f t="shared" si="3"/>
        <v>162</v>
      </c>
      <c r="M30" s="3">
        <f t="shared" si="3"/>
        <v>225</v>
      </c>
      <c r="N30" s="19">
        <f t="shared" si="3"/>
        <v>171</v>
      </c>
    </row>
    <row r="31" spans="1:14">
      <c r="A31" s="6"/>
      <c r="B31" s="10" t="s">
        <v>455</v>
      </c>
      <c r="C31" s="3">
        <f t="shared" ref="C31:N31" si="4">C9-C20</f>
        <v>171</v>
      </c>
      <c r="D31" s="3">
        <f t="shared" si="4"/>
        <v>171</v>
      </c>
      <c r="E31" s="3">
        <f t="shared" si="4"/>
        <v>216</v>
      </c>
      <c r="F31" s="3">
        <f t="shared" si="4"/>
        <v>180</v>
      </c>
      <c r="G31" s="3">
        <f t="shared" si="4"/>
        <v>171</v>
      </c>
      <c r="H31" s="3">
        <f t="shared" si="4"/>
        <v>207</v>
      </c>
      <c r="I31" s="3">
        <f t="shared" si="4"/>
        <v>180</v>
      </c>
      <c r="J31" s="3">
        <f t="shared" si="4"/>
        <v>225</v>
      </c>
      <c r="K31" s="3">
        <f t="shared" si="4"/>
        <v>171</v>
      </c>
      <c r="L31" s="3">
        <f t="shared" si="4"/>
        <v>162</v>
      </c>
      <c r="M31" s="3">
        <f t="shared" si="4"/>
        <v>225</v>
      </c>
      <c r="N31" s="19">
        <f t="shared" si="4"/>
        <v>171</v>
      </c>
    </row>
    <row r="32" spans="1:14">
      <c r="A32" s="6"/>
      <c r="B32" s="10" t="s">
        <v>456</v>
      </c>
      <c r="C32" s="3">
        <f t="shared" ref="C32:N32" si="5">C10-C21</f>
        <v>180</v>
      </c>
      <c r="D32" s="3">
        <f t="shared" si="5"/>
        <v>171</v>
      </c>
      <c r="E32" s="3">
        <f t="shared" si="5"/>
        <v>207</v>
      </c>
      <c r="F32" s="3">
        <f t="shared" si="5"/>
        <v>180</v>
      </c>
      <c r="G32" s="3">
        <f t="shared" si="5"/>
        <v>171</v>
      </c>
      <c r="H32" s="3">
        <f t="shared" si="5"/>
        <v>216</v>
      </c>
      <c r="I32" s="3">
        <f t="shared" si="5"/>
        <v>180</v>
      </c>
      <c r="J32" s="3">
        <f t="shared" si="5"/>
        <v>225</v>
      </c>
      <c r="K32" s="3">
        <f t="shared" si="5"/>
        <v>171</v>
      </c>
      <c r="L32" s="3">
        <f t="shared" si="5"/>
        <v>162</v>
      </c>
      <c r="M32" s="3">
        <f t="shared" si="5"/>
        <v>216</v>
      </c>
      <c r="N32" s="19">
        <f t="shared" si="5"/>
        <v>171</v>
      </c>
    </row>
    <row r="33" spans="1:15">
      <c r="A33" s="6"/>
      <c r="B33" s="11" t="s">
        <v>457</v>
      </c>
      <c r="C33" s="3">
        <f t="shared" ref="C33:N33" si="6">C11-C22</f>
        <v>172</v>
      </c>
      <c r="D33" s="3">
        <f t="shared" si="6"/>
        <v>172</v>
      </c>
      <c r="E33" s="3">
        <f t="shared" si="6"/>
        <v>217</v>
      </c>
      <c r="F33" s="3">
        <f t="shared" si="6"/>
        <v>172</v>
      </c>
      <c r="G33" s="3">
        <f t="shared" si="6"/>
        <v>172</v>
      </c>
      <c r="H33" s="3">
        <f t="shared" si="6"/>
        <v>209</v>
      </c>
      <c r="I33" s="3">
        <f t="shared" si="6"/>
        <v>180</v>
      </c>
      <c r="J33" s="3">
        <f t="shared" si="6"/>
        <v>225</v>
      </c>
      <c r="K33" s="3">
        <f t="shared" si="6"/>
        <v>172</v>
      </c>
      <c r="L33" s="3">
        <f t="shared" si="6"/>
        <v>164</v>
      </c>
      <c r="M33" s="3">
        <f t="shared" si="6"/>
        <v>217</v>
      </c>
      <c r="N33" s="19">
        <f t="shared" si="6"/>
        <v>172</v>
      </c>
    </row>
    <row r="34" spans="1:15" ht="15.6" thickBot="1">
      <c r="B34" s="12" t="s">
        <v>68</v>
      </c>
      <c r="C34" s="5">
        <f t="shared" ref="C34:N34" si="7">C12-C23</f>
        <v>171</v>
      </c>
      <c r="D34" s="5">
        <f t="shared" si="7"/>
        <v>171</v>
      </c>
      <c r="E34" s="5">
        <f t="shared" si="7"/>
        <v>225</v>
      </c>
      <c r="F34" s="5">
        <f t="shared" si="7"/>
        <v>153</v>
      </c>
      <c r="G34" s="5">
        <f t="shared" si="7"/>
        <v>171</v>
      </c>
      <c r="H34" s="5">
        <f t="shared" si="7"/>
        <v>216</v>
      </c>
      <c r="I34" s="5">
        <f t="shared" si="7"/>
        <v>180</v>
      </c>
      <c r="J34" s="5">
        <f t="shared" si="7"/>
        <v>207</v>
      </c>
      <c r="K34" s="5">
        <f t="shared" si="7"/>
        <v>171</v>
      </c>
      <c r="L34" s="5">
        <f t="shared" si="7"/>
        <v>180</v>
      </c>
      <c r="M34" s="5">
        <f t="shared" si="7"/>
        <v>225</v>
      </c>
      <c r="N34" s="22">
        <f t="shared" si="7"/>
        <v>153</v>
      </c>
    </row>
    <row r="35" spans="1:15" ht="15.6" thickBot="1"/>
    <row r="36" spans="1:15">
      <c r="B36" s="136" t="s">
        <v>461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8"/>
    </row>
    <row r="37" spans="1:15">
      <c r="B37" s="76" t="s">
        <v>460</v>
      </c>
      <c r="C37" s="75" t="s">
        <v>441</v>
      </c>
      <c r="D37" s="75" t="s">
        <v>442</v>
      </c>
      <c r="E37" s="75" t="s">
        <v>443</v>
      </c>
      <c r="F37" s="75" t="s">
        <v>444</v>
      </c>
      <c r="G37" s="75" t="s">
        <v>445</v>
      </c>
      <c r="H37" s="75" t="s">
        <v>446</v>
      </c>
      <c r="I37" s="75" t="s">
        <v>447</v>
      </c>
      <c r="J37" s="75" t="s">
        <v>448</v>
      </c>
      <c r="K37" s="75" t="s">
        <v>449</v>
      </c>
      <c r="L37" s="75" t="s">
        <v>450</v>
      </c>
      <c r="M37" s="75" t="s">
        <v>451</v>
      </c>
      <c r="N37" s="77" t="s">
        <v>452</v>
      </c>
    </row>
    <row r="38" spans="1:15">
      <c r="B38" s="10" t="s">
        <v>344</v>
      </c>
      <c r="C38" s="4">
        <f>C27</f>
        <v>167</v>
      </c>
      <c r="D38" s="4">
        <f t="shared" ref="D38:N38" si="8">D27</f>
        <v>167</v>
      </c>
      <c r="E38" s="4">
        <f t="shared" si="8"/>
        <v>211</v>
      </c>
      <c r="F38" s="4">
        <f t="shared" si="8"/>
        <v>176</v>
      </c>
      <c r="G38" s="4">
        <f t="shared" si="8"/>
        <v>167</v>
      </c>
      <c r="H38" s="4">
        <f t="shared" si="8"/>
        <v>220</v>
      </c>
      <c r="I38" s="4">
        <f t="shared" si="8"/>
        <v>167</v>
      </c>
      <c r="J38" s="4">
        <f t="shared" si="8"/>
        <v>211</v>
      </c>
      <c r="K38" s="4">
        <f t="shared" si="8"/>
        <v>167</v>
      </c>
      <c r="L38" s="4">
        <f t="shared" si="8"/>
        <v>167</v>
      </c>
      <c r="M38" s="4">
        <f t="shared" si="8"/>
        <v>211</v>
      </c>
      <c r="N38" s="78">
        <f t="shared" si="8"/>
        <v>167</v>
      </c>
    </row>
    <row r="39" spans="1:15">
      <c r="B39" s="10" t="s">
        <v>453</v>
      </c>
      <c r="C39" s="4">
        <f>C28</f>
        <v>152</v>
      </c>
      <c r="D39" s="4">
        <f t="shared" ref="D39:N40" si="9">D28</f>
        <v>152</v>
      </c>
      <c r="E39" s="4">
        <f t="shared" si="9"/>
        <v>192</v>
      </c>
      <c r="F39" s="4">
        <f t="shared" si="9"/>
        <v>160</v>
      </c>
      <c r="G39" s="4">
        <f t="shared" si="9"/>
        <v>152</v>
      </c>
      <c r="H39" s="4">
        <f t="shared" si="9"/>
        <v>200</v>
      </c>
      <c r="I39" s="4">
        <f t="shared" si="9"/>
        <v>152</v>
      </c>
      <c r="J39" s="4">
        <f t="shared" si="9"/>
        <v>192</v>
      </c>
      <c r="K39" s="4">
        <f t="shared" si="9"/>
        <v>152</v>
      </c>
      <c r="L39" s="4">
        <f t="shared" si="9"/>
        <v>152</v>
      </c>
      <c r="M39" s="4">
        <f t="shared" si="9"/>
        <v>192</v>
      </c>
      <c r="N39" s="78">
        <f t="shared" si="9"/>
        <v>152</v>
      </c>
    </row>
    <row r="40" spans="1:15">
      <c r="B40" s="10" t="s">
        <v>637</v>
      </c>
      <c r="C40" s="4">
        <f>C29</f>
        <v>171</v>
      </c>
      <c r="D40" s="4">
        <f t="shared" si="9"/>
        <v>171</v>
      </c>
      <c r="E40" s="4">
        <f t="shared" si="9"/>
        <v>216</v>
      </c>
      <c r="F40" s="4">
        <f t="shared" si="9"/>
        <v>180</v>
      </c>
      <c r="G40" s="4">
        <f t="shared" si="9"/>
        <v>171</v>
      </c>
      <c r="H40" s="4">
        <f t="shared" si="9"/>
        <v>225</v>
      </c>
      <c r="I40" s="4">
        <f t="shared" si="9"/>
        <v>171</v>
      </c>
      <c r="J40" s="4">
        <f t="shared" si="9"/>
        <v>216</v>
      </c>
      <c r="K40" s="4">
        <f t="shared" si="9"/>
        <v>171</v>
      </c>
      <c r="L40" s="4">
        <f t="shared" si="9"/>
        <v>171</v>
      </c>
      <c r="M40" s="4">
        <f t="shared" si="9"/>
        <v>216</v>
      </c>
      <c r="N40" s="78">
        <f t="shared" si="9"/>
        <v>171</v>
      </c>
    </row>
    <row r="41" spans="1:15">
      <c r="B41" s="10" t="s">
        <v>454</v>
      </c>
      <c r="C41" s="4">
        <f t="shared" ref="C41:M41" si="10">C30*0.97</f>
        <v>165.87</v>
      </c>
      <c r="D41" s="4">
        <f t="shared" si="10"/>
        <v>165.87</v>
      </c>
      <c r="E41" s="4">
        <f t="shared" si="10"/>
        <v>209.51999999999998</v>
      </c>
      <c r="F41" s="4">
        <f t="shared" si="10"/>
        <v>165.87</v>
      </c>
      <c r="G41" s="4">
        <f t="shared" si="10"/>
        <v>165.87</v>
      </c>
      <c r="H41" s="4">
        <f t="shared" si="10"/>
        <v>209.51999999999998</v>
      </c>
      <c r="I41" s="4">
        <f t="shared" si="10"/>
        <v>174.6</v>
      </c>
      <c r="J41" s="4">
        <f t="shared" si="10"/>
        <v>218.25</v>
      </c>
      <c r="K41" s="4">
        <f t="shared" si="10"/>
        <v>165.87</v>
      </c>
      <c r="L41" s="4">
        <f t="shared" si="10"/>
        <v>157.13999999999999</v>
      </c>
      <c r="M41" s="4">
        <f t="shared" si="10"/>
        <v>218.25</v>
      </c>
      <c r="N41" s="78">
        <f>N30*0.97</f>
        <v>165.87</v>
      </c>
    </row>
    <row r="42" spans="1:15">
      <c r="B42" s="10" t="s">
        <v>455</v>
      </c>
      <c r="C42" s="4">
        <f t="shared" ref="C42:N42" si="11">C31*0.97</f>
        <v>165.87</v>
      </c>
      <c r="D42" s="4">
        <f t="shared" si="11"/>
        <v>165.87</v>
      </c>
      <c r="E42" s="4">
        <f t="shared" si="11"/>
        <v>209.51999999999998</v>
      </c>
      <c r="F42" s="4">
        <f t="shared" si="11"/>
        <v>174.6</v>
      </c>
      <c r="G42" s="4">
        <f t="shared" si="11"/>
        <v>165.87</v>
      </c>
      <c r="H42" s="4">
        <f t="shared" si="11"/>
        <v>200.79</v>
      </c>
      <c r="I42" s="4">
        <f t="shared" si="11"/>
        <v>174.6</v>
      </c>
      <c r="J42" s="4">
        <f t="shared" si="11"/>
        <v>218.25</v>
      </c>
      <c r="K42" s="4">
        <f t="shared" si="11"/>
        <v>165.87</v>
      </c>
      <c r="L42" s="4">
        <f t="shared" si="11"/>
        <v>157.13999999999999</v>
      </c>
      <c r="M42" s="4">
        <f t="shared" si="11"/>
        <v>218.25</v>
      </c>
      <c r="N42" s="78">
        <f t="shared" si="11"/>
        <v>165.87</v>
      </c>
    </row>
    <row r="43" spans="1:15">
      <c r="B43" s="10" t="s">
        <v>456</v>
      </c>
      <c r="C43" s="4">
        <f t="shared" ref="C43:N43" si="12">C32*0.97</f>
        <v>174.6</v>
      </c>
      <c r="D43" s="4">
        <f t="shared" si="12"/>
        <v>165.87</v>
      </c>
      <c r="E43" s="4">
        <f t="shared" si="12"/>
        <v>200.79</v>
      </c>
      <c r="F43" s="4">
        <f t="shared" si="12"/>
        <v>174.6</v>
      </c>
      <c r="G43" s="4">
        <f t="shared" si="12"/>
        <v>165.87</v>
      </c>
      <c r="H43" s="4">
        <f t="shared" si="12"/>
        <v>209.51999999999998</v>
      </c>
      <c r="I43" s="4">
        <f t="shared" si="12"/>
        <v>174.6</v>
      </c>
      <c r="J43" s="4">
        <f t="shared" si="12"/>
        <v>218.25</v>
      </c>
      <c r="K43" s="4">
        <f t="shared" si="12"/>
        <v>165.87</v>
      </c>
      <c r="L43" s="4">
        <f t="shared" si="12"/>
        <v>157.13999999999999</v>
      </c>
      <c r="M43" s="4">
        <f t="shared" si="12"/>
        <v>209.51999999999998</v>
      </c>
      <c r="N43" s="78">
        <f t="shared" si="12"/>
        <v>165.87</v>
      </c>
      <c r="O43" s="112"/>
    </row>
    <row r="44" spans="1:15">
      <c r="B44" s="10" t="s">
        <v>457</v>
      </c>
      <c r="C44" s="4">
        <f t="shared" ref="C44:N45" si="13">C33*0.97</f>
        <v>166.84</v>
      </c>
      <c r="D44" s="4">
        <f t="shared" si="13"/>
        <v>166.84</v>
      </c>
      <c r="E44" s="4">
        <f t="shared" si="13"/>
        <v>210.48999999999998</v>
      </c>
      <c r="F44" s="4">
        <f t="shared" si="13"/>
        <v>166.84</v>
      </c>
      <c r="G44" s="4">
        <f t="shared" si="13"/>
        <v>166.84</v>
      </c>
      <c r="H44" s="4">
        <f t="shared" si="13"/>
        <v>202.73</v>
      </c>
      <c r="I44" s="4">
        <f t="shared" si="13"/>
        <v>174.6</v>
      </c>
      <c r="J44" s="4">
        <f t="shared" si="13"/>
        <v>218.25</v>
      </c>
      <c r="K44" s="4">
        <f t="shared" si="13"/>
        <v>166.84</v>
      </c>
      <c r="L44" s="4">
        <f t="shared" si="13"/>
        <v>159.07999999999998</v>
      </c>
      <c r="M44" s="4">
        <f t="shared" si="13"/>
        <v>210.48999999999998</v>
      </c>
      <c r="N44" s="78">
        <f t="shared" si="13"/>
        <v>166.84</v>
      </c>
    </row>
    <row r="45" spans="1:15">
      <c r="B45" s="10" t="s">
        <v>68</v>
      </c>
      <c r="C45" s="4">
        <f t="shared" ref="C45:I45" si="14">C34*0.97</f>
        <v>165.87</v>
      </c>
      <c r="D45" s="4">
        <f t="shared" si="14"/>
        <v>165.87</v>
      </c>
      <c r="E45" s="4">
        <f t="shared" si="14"/>
        <v>218.25</v>
      </c>
      <c r="F45" s="4">
        <f t="shared" si="14"/>
        <v>148.41</v>
      </c>
      <c r="G45" s="4">
        <f t="shared" si="14"/>
        <v>165.87</v>
      </c>
      <c r="H45" s="4">
        <f t="shared" si="14"/>
        <v>209.51999999999998</v>
      </c>
      <c r="I45" s="4">
        <f t="shared" si="14"/>
        <v>174.6</v>
      </c>
      <c r="J45" s="4">
        <f>J34*0.97</f>
        <v>200.79</v>
      </c>
      <c r="K45" s="4">
        <f>K34*0.97</f>
        <v>165.87</v>
      </c>
      <c r="L45" s="4">
        <f>L34*0.97</f>
        <v>174.6</v>
      </c>
      <c r="M45" s="4">
        <f>M34*0.97</f>
        <v>218.25</v>
      </c>
      <c r="N45" s="78">
        <f t="shared" si="13"/>
        <v>148.41</v>
      </c>
    </row>
    <row r="46" spans="1:15" ht="14.4" customHeight="1">
      <c r="B46" s="10" t="s">
        <v>462</v>
      </c>
      <c r="C46" s="4">
        <f t="shared" ref="C46:N46" si="15">C38/2</f>
        <v>83.5</v>
      </c>
      <c r="D46" s="4">
        <f t="shared" si="15"/>
        <v>83.5</v>
      </c>
      <c r="E46" s="4">
        <f t="shared" si="15"/>
        <v>105.5</v>
      </c>
      <c r="F46" s="4">
        <f t="shared" si="15"/>
        <v>88</v>
      </c>
      <c r="G46" s="4">
        <f t="shared" si="15"/>
        <v>83.5</v>
      </c>
      <c r="H46" s="4">
        <f t="shared" si="15"/>
        <v>110</v>
      </c>
      <c r="I46" s="4">
        <f t="shared" si="15"/>
        <v>83.5</v>
      </c>
      <c r="J46" s="4">
        <f t="shared" si="15"/>
        <v>105.5</v>
      </c>
      <c r="K46" s="4">
        <f t="shared" si="15"/>
        <v>83.5</v>
      </c>
      <c r="L46" s="4">
        <f t="shared" si="15"/>
        <v>83.5</v>
      </c>
      <c r="M46" s="4">
        <f t="shared" si="15"/>
        <v>105.5</v>
      </c>
      <c r="N46" s="78">
        <f t="shared" si="15"/>
        <v>83.5</v>
      </c>
    </row>
    <row r="47" spans="1:15">
      <c r="B47" s="10" t="s">
        <v>463</v>
      </c>
      <c r="C47" s="4">
        <f t="shared" ref="C47:N47" si="16">C39/2</f>
        <v>76</v>
      </c>
      <c r="D47" s="4">
        <f t="shared" si="16"/>
        <v>76</v>
      </c>
      <c r="E47" s="4">
        <f t="shared" si="16"/>
        <v>96</v>
      </c>
      <c r="F47" s="4">
        <f t="shared" si="16"/>
        <v>80</v>
      </c>
      <c r="G47" s="4">
        <f t="shared" si="16"/>
        <v>76</v>
      </c>
      <c r="H47" s="4">
        <f t="shared" si="16"/>
        <v>100</v>
      </c>
      <c r="I47" s="4">
        <f t="shared" si="16"/>
        <v>76</v>
      </c>
      <c r="J47" s="4">
        <f t="shared" si="16"/>
        <v>96</v>
      </c>
      <c r="K47" s="4">
        <f t="shared" si="16"/>
        <v>76</v>
      </c>
      <c r="L47" s="4">
        <f t="shared" si="16"/>
        <v>76</v>
      </c>
      <c r="M47" s="4">
        <f t="shared" si="16"/>
        <v>96</v>
      </c>
      <c r="N47" s="78">
        <f t="shared" si="16"/>
        <v>76</v>
      </c>
    </row>
    <row r="48" spans="1:15">
      <c r="B48" s="10" t="s">
        <v>464</v>
      </c>
      <c r="C48" s="4">
        <f>C41/2</f>
        <v>82.935000000000002</v>
      </c>
      <c r="D48" s="4">
        <f t="shared" ref="D48:N48" si="17">D41/2</f>
        <v>82.935000000000002</v>
      </c>
      <c r="E48" s="4">
        <f t="shared" si="17"/>
        <v>104.75999999999999</v>
      </c>
      <c r="F48" s="4">
        <f t="shared" si="17"/>
        <v>82.935000000000002</v>
      </c>
      <c r="G48" s="4">
        <f t="shared" si="17"/>
        <v>82.935000000000002</v>
      </c>
      <c r="H48" s="4">
        <f t="shared" si="17"/>
        <v>104.75999999999999</v>
      </c>
      <c r="I48" s="4">
        <f t="shared" si="17"/>
        <v>87.3</v>
      </c>
      <c r="J48" s="4">
        <f t="shared" si="17"/>
        <v>109.125</v>
      </c>
      <c r="K48" s="4">
        <f t="shared" si="17"/>
        <v>82.935000000000002</v>
      </c>
      <c r="L48" s="4">
        <f t="shared" si="17"/>
        <v>78.569999999999993</v>
      </c>
      <c r="M48" s="4">
        <f t="shared" si="17"/>
        <v>109.125</v>
      </c>
      <c r="N48" s="78">
        <f t="shared" si="17"/>
        <v>82.935000000000002</v>
      </c>
    </row>
    <row r="49" spans="2:15">
      <c r="B49" s="10" t="s">
        <v>571</v>
      </c>
      <c r="C49" s="4">
        <f>C43/2</f>
        <v>87.3</v>
      </c>
      <c r="D49" s="4">
        <f t="shared" ref="D49:N49" si="18">D43/2</f>
        <v>82.935000000000002</v>
      </c>
      <c r="E49" s="4">
        <f t="shared" si="18"/>
        <v>100.395</v>
      </c>
      <c r="F49" s="4">
        <f t="shared" si="18"/>
        <v>87.3</v>
      </c>
      <c r="G49" s="4">
        <f t="shared" si="18"/>
        <v>82.935000000000002</v>
      </c>
      <c r="H49" s="4">
        <f t="shared" si="18"/>
        <v>104.75999999999999</v>
      </c>
      <c r="I49" s="4">
        <f t="shared" si="18"/>
        <v>87.3</v>
      </c>
      <c r="J49" s="4">
        <f t="shared" si="18"/>
        <v>109.125</v>
      </c>
      <c r="K49" s="4">
        <f t="shared" si="18"/>
        <v>82.935000000000002</v>
      </c>
      <c r="L49" s="4">
        <f t="shared" si="18"/>
        <v>78.569999999999993</v>
      </c>
      <c r="M49" s="4">
        <f t="shared" si="18"/>
        <v>104.75999999999999</v>
      </c>
      <c r="N49" s="78">
        <f t="shared" si="18"/>
        <v>82.935000000000002</v>
      </c>
    </row>
    <row r="50" spans="2:15">
      <c r="B50" s="10" t="s">
        <v>572</v>
      </c>
      <c r="C50" s="3">
        <f>ROUNDUP(C45*0.25,0)</f>
        <v>42</v>
      </c>
      <c r="D50" s="3">
        <f t="shared" ref="D50:N50" si="19">ROUNDUP(D45*0.25,0)</f>
        <v>42</v>
      </c>
      <c r="E50" s="3">
        <f t="shared" si="19"/>
        <v>55</v>
      </c>
      <c r="F50" s="3">
        <f t="shared" si="19"/>
        <v>38</v>
      </c>
      <c r="G50" s="3">
        <f t="shared" si="19"/>
        <v>42</v>
      </c>
      <c r="H50" s="3">
        <f t="shared" si="19"/>
        <v>53</v>
      </c>
      <c r="I50" s="3">
        <f t="shared" si="19"/>
        <v>44</v>
      </c>
      <c r="J50" s="3">
        <f t="shared" si="19"/>
        <v>51</v>
      </c>
      <c r="K50" s="3">
        <f t="shared" si="19"/>
        <v>42</v>
      </c>
      <c r="L50" s="3">
        <f t="shared" si="19"/>
        <v>44</v>
      </c>
      <c r="M50" s="3">
        <f t="shared" si="19"/>
        <v>55</v>
      </c>
      <c r="N50" s="19">
        <f t="shared" si="19"/>
        <v>38</v>
      </c>
    </row>
    <row r="51" spans="2:15" ht="15.6" thickBot="1">
      <c r="B51" s="12" t="s">
        <v>573</v>
      </c>
      <c r="C51" s="5">
        <f>ROUNDUP(C45*0.125,0)</f>
        <v>21</v>
      </c>
      <c r="D51" s="5">
        <f t="shared" ref="D51:N51" si="20">ROUNDUP(D45*0.125,0)</f>
        <v>21</v>
      </c>
      <c r="E51" s="5">
        <f t="shared" si="20"/>
        <v>28</v>
      </c>
      <c r="F51" s="5">
        <f t="shared" si="20"/>
        <v>19</v>
      </c>
      <c r="G51" s="5">
        <f t="shared" si="20"/>
        <v>21</v>
      </c>
      <c r="H51" s="5">
        <f t="shared" si="20"/>
        <v>27</v>
      </c>
      <c r="I51" s="5">
        <f t="shared" si="20"/>
        <v>22</v>
      </c>
      <c r="J51" s="5">
        <f t="shared" si="20"/>
        <v>26</v>
      </c>
      <c r="K51" s="5">
        <f t="shared" si="20"/>
        <v>21</v>
      </c>
      <c r="L51" s="5">
        <f t="shared" si="20"/>
        <v>22</v>
      </c>
      <c r="M51" s="5">
        <f t="shared" si="20"/>
        <v>28</v>
      </c>
      <c r="N51" s="22">
        <f t="shared" si="20"/>
        <v>19</v>
      </c>
    </row>
    <row r="52" spans="2:15">
      <c r="B52" s="10" t="s">
        <v>711</v>
      </c>
      <c r="C52" s="4">
        <f>ROUNDUP(C43*0.75,0)</f>
        <v>131</v>
      </c>
      <c r="D52" s="4">
        <f t="shared" ref="D52:N52" si="21">ROUNDUP(D43*0.75,0)</f>
        <v>125</v>
      </c>
      <c r="E52" s="4">
        <f t="shared" si="21"/>
        <v>151</v>
      </c>
      <c r="F52" s="4">
        <f t="shared" si="21"/>
        <v>131</v>
      </c>
      <c r="G52" s="4">
        <f t="shared" si="21"/>
        <v>125</v>
      </c>
      <c r="H52" s="4">
        <f t="shared" si="21"/>
        <v>158</v>
      </c>
      <c r="I52" s="4">
        <f t="shared" si="21"/>
        <v>131</v>
      </c>
      <c r="J52" s="4">
        <f t="shared" si="21"/>
        <v>164</v>
      </c>
      <c r="K52" s="4">
        <f t="shared" si="21"/>
        <v>125</v>
      </c>
      <c r="L52" s="4">
        <f t="shared" si="21"/>
        <v>118</v>
      </c>
      <c r="M52" s="4">
        <f t="shared" si="21"/>
        <v>158</v>
      </c>
      <c r="N52" s="4">
        <f t="shared" si="21"/>
        <v>125</v>
      </c>
    </row>
    <row r="53" spans="2:15">
      <c r="B53" s="10" t="s">
        <v>712</v>
      </c>
      <c r="C53" s="4">
        <f>ROUNDUP(C43*0.25,0)</f>
        <v>44</v>
      </c>
      <c r="D53" s="4">
        <f t="shared" ref="D53:N53" si="22">ROUNDUP(D43*0.25,0)</f>
        <v>42</v>
      </c>
      <c r="E53" s="4">
        <f t="shared" si="22"/>
        <v>51</v>
      </c>
      <c r="F53" s="4">
        <f t="shared" si="22"/>
        <v>44</v>
      </c>
      <c r="G53" s="4">
        <f t="shared" si="22"/>
        <v>42</v>
      </c>
      <c r="H53" s="4">
        <f t="shared" si="22"/>
        <v>53</v>
      </c>
      <c r="I53" s="4">
        <f t="shared" si="22"/>
        <v>44</v>
      </c>
      <c r="J53" s="4">
        <f t="shared" si="22"/>
        <v>55</v>
      </c>
      <c r="K53" s="4">
        <f t="shared" si="22"/>
        <v>42</v>
      </c>
      <c r="L53" s="4">
        <f t="shared" si="22"/>
        <v>40</v>
      </c>
      <c r="M53" s="4">
        <f t="shared" si="22"/>
        <v>53</v>
      </c>
      <c r="N53" s="4">
        <f t="shared" si="22"/>
        <v>42</v>
      </c>
    </row>
    <row r="54" spans="2:15">
      <c r="B54" s="10" t="s">
        <v>715</v>
      </c>
      <c r="C54" s="4">
        <f>ROUNDUP(C41*0.75,0)</f>
        <v>125</v>
      </c>
      <c r="D54" s="4">
        <f t="shared" ref="D54:N54" si="23">ROUNDUP(D41*0.75,0)</f>
        <v>125</v>
      </c>
      <c r="E54" s="4">
        <f t="shared" si="23"/>
        <v>158</v>
      </c>
      <c r="F54" s="4">
        <f t="shared" si="23"/>
        <v>125</v>
      </c>
      <c r="G54" s="4">
        <f t="shared" si="23"/>
        <v>125</v>
      </c>
      <c r="H54" s="4">
        <f t="shared" si="23"/>
        <v>158</v>
      </c>
      <c r="I54" s="4">
        <f t="shared" si="23"/>
        <v>131</v>
      </c>
      <c r="J54" s="4">
        <f t="shared" si="23"/>
        <v>164</v>
      </c>
      <c r="K54" s="4">
        <f t="shared" si="23"/>
        <v>125</v>
      </c>
      <c r="L54" s="4">
        <f t="shared" si="23"/>
        <v>118</v>
      </c>
      <c r="M54" s="4">
        <f t="shared" si="23"/>
        <v>164</v>
      </c>
      <c r="N54" s="4">
        <f t="shared" si="23"/>
        <v>125</v>
      </c>
    </row>
    <row r="55" spans="2:15">
      <c r="B55" s="10" t="s">
        <v>714</v>
      </c>
      <c r="C55" s="4">
        <f>ROUNDUP(C41*0.25,0)</f>
        <v>42</v>
      </c>
      <c r="D55" s="4">
        <f t="shared" ref="D55:N55" si="24">ROUNDUP(D41*0.25,0)</f>
        <v>42</v>
      </c>
      <c r="E55" s="4">
        <f t="shared" si="24"/>
        <v>53</v>
      </c>
      <c r="F55" s="4">
        <f t="shared" si="24"/>
        <v>42</v>
      </c>
      <c r="G55" s="4">
        <f t="shared" si="24"/>
        <v>42</v>
      </c>
      <c r="H55" s="4">
        <f t="shared" si="24"/>
        <v>53</v>
      </c>
      <c r="I55" s="4">
        <f t="shared" si="24"/>
        <v>44</v>
      </c>
      <c r="J55" s="4">
        <f t="shared" si="24"/>
        <v>55</v>
      </c>
      <c r="K55" s="4">
        <f t="shared" si="24"/>
        <v>42</v>
      </c>
      <c r="L55" s="4">
        <f t="shared" si="24"/>
        <v>40</v>
      </c>
      <c r="M55" s="4">
        <f t="shared" si="24"/>
        <v>55</v>
      </c>
      <c r="N55" s="4">
        <f t="shared" si="24"/>
        <v>42</v>
      </c>
    </row>
    <row r="56" spans="2:15">
      <c r="B56" s="10" t="s">
        <v>463</v>
      </c>
      <c r="C56" s="4">
        <f>ROUNDUP(C39*0.2,0)</f>
        <v>31</v>
      </c>
      <c r="D56" s="4">
        <f t="shared" ref="D56:N56" si="25">ROUNDUP(D39*0.2,0)</f>
        <v>31</v>
      </c>
      <c r="E56" s="4">
        <f t="shared" si="25"/>
        <v>39</v>
      </c>
      <c r="F56" s="4">
        <f t="shared" si="25"/>
        <v>32</v>
      </c>
      <c r="G56" s="4">
        <f t="shared" si="25"/>
        <v>31</v>
      </c>
      <c r="H56" s="4">
        <f t="shared" si="25"/>
        <v>40</v>
      </c>
      <c r="I56" s="4">
        <f t="shared" si="25"/>
        <v>31</v>
      </c>
      <c r="J56" s="4">
        <f t="shared" si="25"/>
        <v>39</v>
      </c>
      <c r="K56" s="4">
        <f t="shared" si="25"/>
        <v>31</v>
      </c>
      <c r="L56" s="4">
        <f t="shared" si="25"/>
        <v>31</v>
      </c>
      <c r="M56" s="4">
        <f t="shared" si="25"/>
        <v>39</v>
      </c>
      <c r="N56" s="4">
        <f t="shared" si="25"/>
        <v>31</v>
      </c>
    </row>
    <row r="58" spans="2:15" ht="15.6" thickBot="1">
      <c r="B58" s="113" t="s">
        <v>1122</v>
      </c>
    </row>
    <row r="59" spans="2:15">
      <c r="B59" s="136" t="s">
        <v>461</v>
      </c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8"/>
    </row>
    <row r="60" spans="2:15">
      <c r="B60" s="76" t="s">
        <v>460</v>
      </c>
      <c r="C60" s="75" t="s">
        <v>441</v>
      </c>
      <c r="D60" s="75" t="s">
        <v>442</v>
      </c>
      <c r="E60" s="75" t="s">
        <v>443</v>
      </c>
      <c r="F60" s="75" t="s">
        <v>444</v>
      </c>
      <c r="G60" s="75" t="s">
        <v>445</v>
      </c>
      <c r="H60" s="75" t="s">
        <v>446</v>
      </c>
      <c r="I60" s="75" t="s">
        <v>447</v>
      </c>
      <c r="J60" s="75" t="s">
        <v>448</v>
      </c>
      <c r="K60" s="75" t="s">
        <v>449</v>
      </c>
      <c r="L60" s="75" t="s">
        <v>450</v>
      </c>
      <c r="M60" s="75" t="s">
        <v>451</v>
      </c>
      <c r="N60" s="77" t="s">
        <v>452</v>
      </c>
    </row>
    <row r="61" spans="2:15">
      <c r="B61" s="10" t="s">
        <v>454</v>
      </c>
      <c r="C61" s="4">
        <f>C30*0.93</f>
        <v>159.03</v>
      </c>
      <c r="D61" s="4">
        <f t="shared" ref="D61:N61" si="26">D30*0.93</f>
        <v>159.03</v>
      </c>
      <c r="E61" s="4">
        <f t="shared" si="26"/>
        <v>200.88000000000002</v>
      </c>
      <c r="F61" s="4">
        <f t="shared" si="26"/>
        <v>159.03</v>
      </c>
      <c r="G61" s="4">
        <f t="shared" si="26"/>
        <v>159.03</v>
      </c>
      <c r="H61" s="4">
        <f>H8*0.93</f>
        <v>209.25</v>
      </c>
      <c r="I61" s="4">
        <f t="shared" si="26"/>
        <v>167.4</v>
      </c>
      <c r="J61" s="4">
        <f t="shared" si="26"/>
        <v>209.25</v>
      </c>
      <c r="K61" s="4">
        <f t="shared" si="26"/>
        <v>159.03</v>
      </c>
      <c r="L61" s="4">
        <f t="shared" si="26"/>
        <v>150.66</v>
      </c>
      <c r="M61" s="4">
        <f t="shared" si="26"/>
        <v>209.25</v>
      </c>
      <c r="N61" s="4">
        <f t="shared" si="26"/>
        <v>159.03</v>
      </c>
    </row>
    <row r="62" spans="2:15">
      <c r="B62" s="10" t="s">
        <v>455</v>
      </c>
      <c r="C62" s="4">
        <f>C31*0.93</f>
        <v>159.03</v>
      </c>
      <c r="D62" s="4">
        <f t="shared" ref="D62:N62" si="27">D31*0.93</f>
        <v>159.03</v>
      </c>
      <c r="E62" s="4">
        <f t="shared" si="27"/>
        <v>200.88000000000002</v>
      </c>
      <c r="F62" s="4">
        <f t="shared" si="27"/>
        <v>167.4</v>
      </c>
      <c r="G62" s="4">
        <f t="shared" si="27"/>
        <v>159.03</v>
      </c>
      <c r="H62" s="4">
        <f>H9*0.93</f>
        <v>209.25</v>
      </c>
      <c r="I62" s="4">
        <f t="shared" si="27"/>
        <v>167.4</v>
      </c>
      <c r="J62" s="4">
        <f t="shared" si="27"/>
        <v>209.25</v>
      </c>
      <c r="K62" s="4">
        <f t="shared" si="27"/>
        <v>159.03</v>
      </c>
      <c r="L62" s="4">
        <f t="shared" si="27"/>
        <v>150.66</v>
      </c>
      <c r="M62" s="4">
        <f t="shared" si="27"/>
        <v>209.25</v>
      </c>
      <c r="N62" s="4">
        <f t="shared" si="27"/>
        <v>159.03</v>
      </c>
    </row>
    <row r="63" spans="2:15">
      <c r="B63" s="10" t="s">
        <v>456</v>
      </c>
      <c r="C63" s="4">
        <f>C32*0.93</f>
        <v>167.4</v>
      </c>
      <c r="D63" s="4">
        <f t="shared" ref="D63:N63" si="28">D32*0.93</f>
        <v>159.03</v>
      </c>
      <c r="E63" s="4">
        <f t="shared" si="28"/>
        <v>192.51000000000002</v>
      </c>
      <c r="F63" s="4">
        <f t="shared" si="28"/>
        <v>167.4</v>
      </c>
      <c r="G63" s="4">
        <f t="shared" si="28"/>
        <v>159.03</v>
      </c>
      <c r="H63" s="4">
        <f>H10*0.93</f>
        <v>209.25</v>
      </c>
      <c r="I63" s="4">
        <f t="shared" si="28"/>
        <v>167.4</v>
      </c>
      <c r="J63" s="4">
        <f t="shared" si="28"/>
        <v>209.25</v>
      </c>
      <c r="K63" s="4">
        <f t="shared" si="28"/>
        <v>159.03</v>
      </c>
      <c r="L63" s="4">
        <f t="shared" si="28"/>
        <v>150.66</v>
      </c>
      <c r="M63" s="4">
        <f t="shared" si="28"/>
        <v>200.88000000000002</v>
      </c>
      <c r="N63" s="4">
        <f t="shared" si="28"/>
        <v>159.03</v>
      </c>
      <c r="O63" s="112"/>
    </row>
    <row r="64" spans="2:15">
      <c r="B64" s="10" t="s">
        <v>457</v>
      </c>
      <c r="C64" s="4">
        <f>C33*0.93</f>
        <v>159.96</v>
      </c>
      <c r="D64" s="4">
        <f t="shared" ref="D64:N64" si="29">D33*0.93</f>
        <v>159.96</v>
      </c>
      <c r="E64" s="4">
        <f t="shared" si="29"/>
        <v>201.81</v>
      </c>
      <c r="F64" s="4">
        <f t="shared" si="29"/>
        <v>159.96</v>
      </c>
      <c r="G64" s="4">
        <f t="shared" si="29"/>
        <v>159.96</v>
      </c>
      <c r="H64" s="4">
        <f>H11*0.93</f>
        <v>209.25</v>
      </c>
      <c r="I64" s="4">
        <f t="shared" si="29"/>
        <v>167.4</v>
      </c>
      <c r="J64" s="4">
        <f t="shared" si="29"/>
        <v>209.25</v>
      </c>
      <c r="K64" s="4">
        <f t="shared" si="29"/>
        <v>159.96</v>
      </c>
      <c r="L64" s="4">
        <f t="shared" si="29"/>
        <v>152.52000000000001</v>
      </c>
      <c r="M64" s="4">
        <f t="shared" si="29"/>
        <v>201.81</v>
      </c>
      <c r="N64" s="4">
        <f t="shared" si="29"/>
        <v>159.96</v>
      </c>
      <c r="O64" s="112"/>
    </row>
    <row r="65" spans="2:14">
      <c r="B65" s="10" t="s">
        <v>68</v>
      </c>
      <c r="C65" s="4">
        <f>C34*0.93</f>
        <v>159.03</v>
      </c>
      <c r="D65" s="4">
        <f t="shared" ref="D65:N65" si="30">D34*0.93</f>
        <v>159.03</v>
      </c>
      <c r="E65" s="4">
        <f t="shared" si="30"/>
        <v>209.25</v>
      </c>
      <c r="F65" s="4">
        <f t="shared" si="30"/>
        <v>142.29000000000002</v>
      </c>
      <c r="G65" s="4">
        <f t="shared" si="30"/>
        <v>159.03</v>
      </c>
      <c r="H65" s="4">
        <f>H12*0.93</f>
        <v>209.25</v>
      </c>
      <c r="I65" s="4">
        <f t="shared" si="30"/>
        <v>167.4</v>
      </c>
      <c r="J65" s="4">
        <f t="shared" si="30"/>
        <v>192.51000000000002</v>
      </c>
      <c r="K65" s="4">
        <f t="shared" si="30"/>
        <v>159.03</v>
      </c>
      <c r="L65" s="4">
        <f t="shared" si="30"/>
        <v>167.4</v>
      </c>
      <c r="M65" s="4">
        <f t="shared" si="30"/>
        <v>209.25</v>
      </c>
      <c r="N65" s="4">
        <f t="shared" si="30"/>
        <v>142.29000000000002</v>
      </c>
    </row>
    <row r="66" spans="2:14">
      <c r="B66" s="10" t="s">
        <v>464</v>
      </c>
      <c r="C66" s="4">
        <f>C61/2</f>
        <v>79.515000000000001</v>
      </c>
      <c r="D66" s="4">
        <f t="shared" ref="D66:N66" si="31">D61/2</f>
        <v>79.515000000000001</v>
      </c>
      <c r="E66" s="4">
        <f t="shared" si="31"/>
        <v>100.44000000000001</v>
      </c>
      <c r="F66" s="4">
        <f t="shared" si="31"/>
        <v>79.515000000000001</v>
      </c>
      <c r="G66" s="4">
        <f t="shared" si="31"/>
        <v>79.515000000000001</v>
      </c>
      <c r="H66" s="4">
        <f t="shared" si="31"/>
        <v>104.625</v>
      </c>
      <c r="I66" s="4">
        <f t="shared" si="31"/>
        <v>83.7</v>
      </c>
      <c r="J66" s="4">
        <f t="shared" si="31"/>
        <v>104.625</v>
      </c>
      <c r="K66" s="4">
        <f t="shared" si="31"/>
        <v>79.515000000000001</v>
      </c>
      <c r="L66" s="4">
        <f t="shared" si="31"/>
        <v>75.33</v>
      </c>
      <c r="M66" s="4">
        <f t="shared" si="31"/>
        <v>104.625</v>
      </c>
      <c r="N66" s="78">
        <f t="shared" si="31"/>
        <v>79.515000000000001</v>
      </c>
    </row>
    <row r="67" spans="2:14">
      <c r="B67" s="10" t="s">
        <v>571</v>
      </c>
      <c r="C67" s="4">
        <f>C63/2</f>
        <v>83.7</v>
      </c>
      <c r="D67" s="4">
        <f t="shared" ref="D67:N67" si="32">D63/2</f>
        <v>79.515000000000001</v>
      </c>
      <c r="E67" s="4">
        <f t="shared" si="32"/>
        <v>96.25500000000001</v>
      </c>
      <c r="F67" s="4">
        <f t="shared" si="32"/>
        <v>83.7</v>
      </c>
      <c r="G67" s="4">
        <f t="shared" si="32"/>
        <v>79.515000000000001</v>
      </c>
      <c r="H67" s="4">
        <f t="shared" si="32"/>
        <v>104.625</v>
      </c>
      <c r="I67" s="4">
        <f t="shared" si="32"/>
        <v>83.7</v>
      </c>
      <c r="J67" s="4">
        <f t="shared" si="32"/>
        <v>104.625</v>
      </c>
      <c r="K67" s="4">
        <f t="shared" si="32"/>
        <v>79.515000000000001</v>
      </c>
      <c r="L67" s="4">
        <f t="shared" si="32"/>
        <v>75.33</v>
      </c>
      <c r="M67" s="4">
        <f t="shared" si="32"/>
        <v>100.44000000000001</v>
      </c>
      <c r="N67" s="78">
        <f t="shared" si="32"/>
        <v>79.515000000000001</v>
      </c>
    </row>
    <row r="68" spans="2:14">
      <c r="B68" s="10" t="s">
        <v>572</v>
      </c>
      <c r="C68" s="3">
        <f>ROUNDUP(C65*0.25,0)</f>
        <v>40</v>
      </c>
      <c r="D68" s="3">
        <f t="shared" ref="D68:N68" si="33">ROUNDUP(D65*0.25,0)</f>
        <v>40</v>
      </c>
      <c r="E68" s="3">
        <f t="shared" si="33"/>
        <v>53</v>
      </c>
      <c r="F68" s="3">
        <f t="shared" si="33"/>
        <v>36</v>
      </c>
      <c r="G68" s="3">
        <f t="shared" si="33"/>
        <v>40</v>
      </c>
      <c r="H68" s="3">
        <f t="shared" si="33"/>
        <v>53</v>
      </c>
      <c r="I68" s="3">
        <f t="shared" si="33"/>
        <v>42</v>
      </c>
      <c r="J68" s="3">
        <f t="shared" si="33"/>
        <v>49</v>
      </c>
      <c r="K68" s="3">
        <f t="shared" si="33"/>
        <v>40</v>
      </c>
      <c r="L68" s="3">
        <f t="shared" si="33"/>
        <v>42</v>
      </c>
      <c r="M68" s="3">
        <f t="shared" si="33"/>
        <v>53</v>
      </c>
      <c r="N68" s="19">
        <f t="shared" si="33"/>
        <v>36</v>
      </c>
    </row>
    <row r="69" spans="2:14" ht="15.6" thickBot="1">
      <c r="B69" s="12" t="s">
        <v>573</v>
      </c>
      <c r="C69" s="5">
        <f>ROUNDUP(C65*0.125,0)</f>
        <v>20</v>
      </c>
      <c r="D69" s="5">
        <f t="shared" ref="D69:N69" si="34">ROUNDUP(D65*0.125,0)</f>
        <v>20</v>
      </c>
      <c r="E69" s="5">
        <f t="shared" si="34"/>
        <v>27</v>
      </c>
      <c r="F69" s="5">
        <f t="shared" si="34"/>
        <v>18</v>
      </c>
      <c r="G69" s="5">
        <f t="shared" si="34"/>
        <v>20</v>
      </c>
      <c r="H69" s="5">
        <f t="shared" si="34"/>
        <v>27</v>
      </c>
      <c r="I69" s="5">
        <f t="shared" si="34"/>
        <v>21</v>
      </c>
      <c r="J69" s="5">
        <f t="shared" si="34"/>
        <v>25</v>
      </c>
      <c r="K69" s="5">
        <f t="shared" si="34"/>
        <v>20</v>
      </c>
      <c r="L69" s="5">
        <f t="shared" si="34"/>
        <v>21</v>
      </c>
      <c r="M69" s="5">
        <f t="shared" si="34"/>
        <v>27</v>
      </c>
      <c r="N69" s="22">
        <f t="shared" si="34"/>
        <v>18</v>
      </c>
    </row>
    <row r="70" spans="2:14">
      <c r="B70" s="10" t="s">
        <v>711</v>
      </c>
      <c r="C70" s="4">
        <f>ROUNDUP(C63*0.75,0)</f>
        <v>126</v>
      </c>
      <c r="D70" s="4">
        <f t="shared" ref="D70:N70" si="35">ROUNDUP(D63*0.75,0)</f>
        <v>120</v>
      </c>
      <c r="E70" s="4">
        <f t="shared" si="35"/>
        <v>145</v>
      </c>
      <c r="F70" s="4">
        <f t="shared" si="35"/>
        <v>126</v>
      </c>
      <c r="G70" s="4">
        <f t="shared" si="35"/>
        <v>120</v>
      </c>
      <c r="H70" s="4">
        <f t="shared" si="35"/>
        <v>157</v>
      </c>
      <c r="I70" s="4">
        <f t="shared" si="35"/>
        <v>126</v>
      </c>
      <c r="J70" s="4">
        <f t="shared" si="35"/>
        <v>157</v>
      </c>
      <c r="K70" s="4">
        <f t="shared" si="35"/>
        <v>120</v>
      </c>
      <c r="L70" s="4">
        <f t="shared" si="35"/>
        <v>113</v>
      </c>
      <c r="M70" s="4">
        <f t="shared" si="35"/>
        <v>151</v>
      </c>
      <c r="N70" s="4">
        <f t="shared" si="35"/>
        <v>120</v>
      </c>
    </row>
    <row r="71" spans="2:14">
      <c r="B71" s="10" t="s">
        <v>712</v>
      </c>
      <c r="C71" s="4">
        <f>ROUNDUP(C63*0.25,0)</f>
        <v>42</v>
      </c>
      <c r="D71" s="4">
        <f t="shared" ref="D71:N71" si="36">ROUNDUP(D63*0.25,0)</f>
        <v>40</v>
      </c>
      <c r="E71" s="4">
        <f t="shared" si="36"/>
        <v>49</v>
      </c>
      <c r="F71" s="4">
        <f t="shared" si="36"/>
        <v>42</v>
      </c>
      <c r="G71" s="4">
        <f t="shared" si="36"/>
        <v>40</v>
      </c>
      <c r="H71" s="4">
        <f t="shared" si="36"/>
        <v>53</v>
      </c>
      <c r="I71" s="4">
        <f t="shared" si="36"/>
        <v>42</v>
      </c>
      <c r="J71" s="4">
        <f t="shared" si="36"/>
        <v>53</v>
      </c>
      <c r="K71" s="4">
        <f t="shared" si="36"/>
        <v>40</v>
      </c>
      <c r="L71" s="4">
        <f t="shared" si="36"/>
        <v>38</v>
      </c>
      <c r="M71" s="4">
        <f t="shared" si="36"/>
        <v>51</v>
      </c>
      <c r="N71" s="4">
        <f t="shared" si="36"/>
        <v>40</v>
      </c>
    </row>
    <row r="72" spans="2:14">
      <c r="B72" s="10" t="s">
        <v>715</v>
      </c>
      <c r="C72" s="4">
        <f>ROUNDUP(C61*0.75,0)</f>
        <v>120</v>
      </c>
      <c r="D72" s="4">
        <f t="shared" ref="D72:N72" si="37">ROUNDUP(D61*0.75,0)</f>
        <v>120</v>
      </c>
      <c r="E72" s="4">
        <f t="shared" si="37"/>
        <v>151</v>
      </c>
      <c r="F72" s="4">
        <f t="shared" si="37"/>
        <v>120</v>
      </c>
      <c r="G72" s="4">
        <f t="shared" si="37"/>
        <v>120</v>
      </c>
      <c r="H72" s="4">
        <f t="shared" si="37"/>
        <v>157</v>
      </c>
      <c r="I72" s="4">
        <f t="shared" si="37"/>
        <v>126</v>
      </c>
      <c r="J72" s="4">
        <f t="shared" si="37"/>
        <v>157</v>
      </c>
      <c r="K72" s="4">
        <f t="shared" si="37"/>
        <v>120</v>
      </c>
      <c r="L72" s="4">
        <f t="shared" si="37"/>
        <v>113</v>
      </c>
      <c r="M72" s="4">
        <f t="shared" si="37"/>
        <v>157</v>
      </c>
      <c r="N72" s="4">
        <f t="shared" si="37"/>
        <v>120</v>
      </c>
    </row>
    <row r="73" spans="2:14">
      <c r="B73" s="10" t="s">
        <v>714</v>
      </c>
      <c r="C73" s="4">
        <f>ROUNDUP(C61*0.25,0)</f>
        <v>40</v>
      </c>
      <c r="D73" s="4">
        <f t="shared" ref="D73:N73" si="38">ROUNDUP(D61*0.25,0)</f>
        <v>40</v>
      </c>
      <c r="E73" s="4">
        <f t="shared" si="38"/>
        <v>51</v>
      </c>
      <c r="F73" s="4">
        <f t="shared" si="38"/>
        <v>40</v>
      </c>
      <c r="G73" s="4">
        <f t="shared" si="38"/>
        <v>40</v>
      </c>
      <c r="H73" s="4">
        <f t="shared" si="38"/>
        <v>53</v>
      </c>
      <c r="I73" s="4">
        <f t="shared" si="38"/>
        <v>42</v>
      </c>
      <c r="J73" s="4">
        <f t="shared" si="38"/>
        <v>53</v>
      </c>
      <c r="K73" s="4">
        <f t="shared" si="38"/>
        <v>40</v>
      </c>
      <c r="L73" s="4">
        <f t="shared" si="38"/>
        <v>38</v>
      </c>
      <c r="M73" s="4">
        <f t="shared" si="38"/>
        <v>53</v>
      </c>
      <c r="N73" s="4">
        <f t="shared" si="38"/>
        <v>40</v>
      </c>
    </row>
  </sheetData>
  <mergeCells count="3">
    <mergeCell ref="B25:N25"/>
    <mergeCell ref="B36:N36"/>
    <mergeCell ref="B59:N59"/>
  </mergeCells>
  <pageMargins left="0.7" right="0.7" top="0.75" bottom="0.75" header="0.3" footer="0.3"/>
  <ignoredErrors>
    <ignoredError sqref="E5:E6 H5:H6 J5:J6 M5:M6" formula="1"/>
  </ignoredErrors>
</worksheet>
</file>

<file path=docMetadata/LabelInfo.xml><?xml version="1.0" encoding="utf-8"?>
<clbl:labelList xmlns:clbl="http://schemas.microsoft.com/office/2020/mipLabelMetadata">
  <clbl:label id="{235c080e-3229-4a2e-b702-e00c8f196752}" enabled="1" method="Standard" siteId="{1aa51068-11a6-4bd2-8646-1fff31a30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Summary</vt:lpstr>
      <vt:lpstr>Forecast details 2026</vt:lpstr>
      <vt:lpstr>Holidays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Abhay</dc:creator>
  <cp:keywords/>
  <dc:description/>
  <cp:lastModifiedBy>OMPRAKASH YADAV</cp:lastModifiedBy>
  <cp:revision/>
  <dcterms:created xsi:type="dcterms:W3CDTF">2016-09-27T19:07:32Z</dcterms:created>
  <dcterms:modified xsi:type="dcterms:W3CDTF">2026-06-01T18:08:45Z</dcterms:modified>
  <cp:category/>
  <cp:contentStatus/>
</cp:coreProperties>
</file>