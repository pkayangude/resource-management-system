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bm-my.sharepoint.com/personal/prashant_k_in_ibm_com/Documents/Backup 31 07 2026/Woking Folder/Bob Projects/Resource Management/Template/"/>
    </mc:Choice>
  </mc:AlternateContent>
  <xr:revisionPtr revIDLastSave="102" documentId="13_ncr:1_{F5E2C0E2-178E-4644-AA66-066F6C1951FE}" xr6:coauthVersionLast="47" xr6:coauthVersionMax="47" xr10:uidLastSave="{EE4E47AA-44E6-4669-8177-8FC4D5FBBCEA}"/>
  <bookViews>
    <workbookView xWindow="-110" yWindow="-110" windowWidth="19420" windowHeight="11500" xr2:uid="{A9588EF4-2ECC-4247-A63C-7A48FEE8D3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1" l="1"/>
  <c r="T14" i="1"/>
  <c r="T4" i="1"/>
  <c r="I14" i="1"/>
  <c r="B14" i="1"/>
  <c r="T11" i="1" s="1"/>
  <c r="P14" i="1"/>
  <c r="T13" i="1"/>
  <c r="R13" i="1"/>
  <c r="T12" i="1"/>
  <c r="R12" i="1"/>
  <c r="R11" i="1"/>
  <c r="R10" i="1"/>
  <c r="T9" i="1"/>
  <c r="R9" i="1"/>
  <c r="T8" i="1"/>
  <c r="R8" i="1"/>
  <c r="R7" i="1"/>
  <c r="R6" i="1"/>
  <c r="T5" i="1"/>
  <c r="R5" i="1"/>
  <c r="R4" i="1"/>
  <c r="K13" i="1"/>
  <c r="K12" i="1"/>
  <c r="K11" i="1"/>
  <c r="K14" i="1" s="1"/>
  <c r="K10" i="1"/>
  <c r="K9" i="1"/>
  <c r="K8" i="1"/>
  <c r="K7" i="1"/>
  <c r="K6" i="1"/>
  <c r="K5" i="1"/>
  <c r="K4" i="1"/>
  <c r="F7" i="1"/>
  <c r="D4" i="1"/>
  <c r="D14" i="1" s="1"/>
  <c r="D13" i="1"/>
  <c r="D12" i="1"/>
  <c r="D11" i="1"/>
  <c r="D10" i="1"/>
  <c r="D9" i="1"/>
  <c r="D8" i="1"/>
  <c r="D7" i="1"/>
  <c r="D6" i="1"/>
  <c r="D5" i="1"/>
  <c r="T10" i="1" l="1"/>
  <c r="T6" i="1"/>
  <c r="T7" i="1"/>
  <c r="F5" i="1"/>
  <c r="M8" i="1"/>
  <c r="F4" i="1"/>
  <c r="F13" i="1"/>
  <c r="M10" i="1"/>
  <c r="M4" i="1"/>
  <c r="F12" i="1"/>
  <c r="F11" i="1"/>
  <c r="M6" i="1"/>
  <c r="F10" i="1"/>
  <c r="F6" i="1"/>
  <c r="M7" i="1"/>
  <c r="M11" i="1"/>
  <c r="M12" i="1"/>
  <c r="F9" i="1"/>
  <c r="F8" i="1"/>
  <c r="M5" i="1"/>
  <c r="M9" i="1"/>
  <c r="M13" i="1"/>
  <c r="F14" i="1" l="1"/>
  <c r="M14" i="1"/>
</calcChain>
</file>

<file path=xl/sharedStrings.xml><?xml version="1.0" encoding="utf-8"?>
<sst xmlns="http://schemas.openxmlformats.org/spreadsheetml/2006/main" count="55" uniqueCount="21">
  <si>
    <t>Band</t>
  </si>
  <si>
    <t>Weightage</t>
  </si>
  <si>
    <t xml:space="preserve">FTE </t>
  </si>
  <si>
    <t>Band 5</t>
  </si>
  <si>
    <t>Band 6G</t>
  </si>
  <si>
    <t>Band 6A</t>
  </si>
  <si>
    <t>Band 6B</t>
  </si>
  <si>
    <t>Band 7A</t>
  </si>
  <si>
    <t>Band 7B</t>
  </si>
  <si>
    <t>Band 8</t>
  </si>
  <si>
    <t>Band 9</t>
  </si>
  <si>
    <t>Band 10</t>
  </si>
  <si>
    <t>Bandmix ==&gt;&gt;</t>
  </si>
  <si>
    <t>Band 4</t>
  </si>
  <si>
    <t>%</t>
  </si>
  <si>
    <t>Sep</t>
  </si>
  <si>
    <t>July</t>
  </si>
  <si>
    <t>June</t>
  </si>
  <si>
    <t>Band %</t>
  </si>
  <si>
    <t>Total Band Value
(Band Mix)</t>
  </si>
  <si>
    <t>NOTE - To calculate BandMix just fill 'FTE'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</si>
</sst>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2" borderId="1" xfId="0" applyFill="1" applyBorder="1" applyAlignment="1">
      <alignment vertical="top"/>
    </xf>
    <xf numFmtId="2" fontId="0" fillId="2" borderId="1" xfId="0" applyNumberFormat="1" applyFill="1" applyBorder="1" applyAlignment="1">
      <alignment vertical="top"/>
    </xf>
    <xf numFmtId="1" fontId="0" fillId="2" borderId="1" xfId="0" applyNumberFormat="1" applyFill="1" applyBorder="1" applyAlignment="1">
      <alignment horizontal="center" vertical="top"/>
    </xf>
    <xf numFmtId="2" fontId="1" fillId="3" borderId="0" xfId="0" applyNumberFormat="1" applyFont="1" applyFill="1" applyAlignment="1">
      <alignment vertical="top"/>
    </xf>
    <xf numFmtId="0" fontId="1" fillId="3" borderId="1" xfId="0" applyFont="1" applyFill="1" applyBorder="1" applyAlignment="1">
      <alignment vertical="top"/>
    </xf>
    <xf numFmtId="164" fontId="1" fillId="3" borderId="1" xfId="0" applyNumberFormat="1" applyFont="1" applyFill="1" applyBorder="1" applyAlignment="1">
      <alignment vertical="top"/>
    </xf>
    <xf numFmtId="0" fontId="0" fillId="3" borderId="0" xfId="0" applyFill="1" applyAlignment="1">
      <alignment vertical="top"/>
    </xf>
    <xf numFmtId="2" fontId="1" fillId="3" borderId="1" xfId="0" applyNumberFormat="1" applyFont="1" applyFill="1" applyBorder="1" applyAlignment="1">
      <alignment horizontal="center" vertical="top"/>
    </xf>
    <xf numFmtId="0" fontId="1" fillId="4" borderId="1" xfId="0" applyFont="1" applyFill="1" applyBorder="1" applyAlignment="1">
      <alignment vertical="top" wrapText="1"/>
    </xf>
    <xf numFmtId="0" fontId="1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8AE5D-A561-49A0-A5FC-6CC62223C6AB}">
  <dimension ref="A2:T18"/>
  <sheetViews>
    <sheetView tabSelected="1" topLeftCell="C1" workbookViewId="0">
      <selection activeCell="S19" sqref="S19"/>
    </sheetView>
  </sheetViews>
  <sheetFormatPr defaultColWidth="9.08984375" defaultRowHeight="14.5" x14ac:dyDescent="0.35"/>
  <cols>
    <col min="1" max="1" width="8.81640625" style="1" customWidth="1"/>
    <col min="2" max="2" width="5.54296875" style="1" bestFit="1" customWidth="1"/>
    <col min="3" max="3" width="12.81640625" style="1" bestFit="1" customWidth="1"/>
    <col min="4" max="4" width="15.36328125" style="1" bestFit="1" customWidth="1"/>
    <col min="5" max="5" width="1.90625" style="1" customWidth="1"/>
    <col min="6" max="6" width="6.54296875" style="1" bestFit="1" customWidth="1"/>
    <col min="7" max="7" width="9.08984375" style="1"/>
    <col min="8" max="8" width="7.81640625" style="1" bestFit="1" customWidth="1"/>
    <col min="9" max="9" width="5.54296875" style="1" bestFit="1" customWidth="1"/>
    <col min="10" max="10" width="12.81640625" style="1" bestFit="1" customWidth="1"/>
    <col min="11" max="11" width="15.36328125" style="1" bestFit="1" customWidth="1"/>
    <col min="12" max="12" width="2" style="1" customWidth="1"/>
    <col min="13" max="13" width="6.54296875" style="1" bestFit="1" customWidth="1"/>
    <col min="14" max="16" width="9.08984375" style="1"/>
    <col min="17" max="17" width="12.81640625" style="1" bestFit="1" customWidth="1"/>
    <col min="18" max="18" width="16.453125" style="1" customWidth="1"/>
    <col min="19" max="19" width="9.08984375" style="1" customWidth="1"/>
    <col min="20" max="16384" width="9.08984375" style="1"/>
  </cols>
  <sheetData>
    <row r="2" spans="1:20" x14ac:dyDescent="0.35">
      <c r="A2" s="1" t="s">
        <v>17</v>
      </c>
      <c r="F2" s="1" t="s">
        <v>18</v>
      </c>
      <c r="H2" s="1" t="s">
        <v>16</v>
      </c>
      <c r="M2" s="1" t="s">
        <v>18</v>
      </c>
      <c r="O2" s="1" t="s">
        <v>15</v>
      </c>
      <c r="T2" s="1" t="s">
        <v>18</v>
      </c>
    </row>
    <row r="3" spans="1:20" ht="29" x14ac:dyDescent="0.35">
      <c r="A3" s="2" t="s">
        <v>0</v>
      </c>
      <c r="B3" s="2" t="s">
        <v>2</v>
      </c>
      <c r="C3" s="2" t="s">
        <v>1</v>
      </c>
      <c r="D3" s="12" t="s">
        <v>19</v>
      </c>
      <c r="F3" s="3" t="s">
        <v>14</v>
      </c>
      <c r="H3" s="2" t="s">
        <v>0</v>
      </c>
      <c r="I3" s="2" t="s">
        <v>2</v>
      </c>
      <c r="J3" s="2" t="s">
        <v>1</v>
      </c>
      <c r="K3" s="12" t="s">
        <v>19</v>
      </c>
      <c r="M3" s="3" t="s">
        <v>14</v>
      </c>
      <c r="O3" s="2" t="s">
        <v>0</v>
      </c>
      <c r="P3" s="2" t="s">
        <v>2</v>
      </c>
      <c r="Q3" s="2" t="s">
        <v>1</v>
      </c>
      <c r="R3" s="12" t="s">
        <v>19</v>
      </c>
      <c r="T3" s="3" t="s">
        <v>14</v>
      </c>
    </row>
    <row r="4" spans="1:20" x14ac:dyDescent="0.35">
      <c r="A4" s="4" t="s">
        <v>13</v>
      </c>
      <c r="B4" s="5">
        <v>3</v>
      </c>
      <c r="C4" s="5">
        <v>4.5</v>
      </c>
      <c r="D4" s="4">
        <f>B4*C4</f>
        <v>13.5</v>
      </c>
      <c r="F4" s="6">
        <f>(B4/$B$14)*100</f>
        <v>6.25</v>
      </c>
      <c r="H4" s="4" t="s">
        <v>13</v>
      </c>
      <c r="I4" s="5">
        <v>3</v>
      </c>
      <c r="J4" s="5">
        <v>4.5</v>
      </c>
      <c r="K4" s="4">
        <f>I4*J4</f>
        <v>13.5</v>
      </c>
      <c r="M4" s="6">
        <f>(I4/$B$14)*100</f>
        <v>6.25</v>
      </c>
      <c r="O4" s="4" t="s">
        <v>13</v>
      </c>
      <c r="P4" s="5">
        <v>4</v>
      </c>
      <c r="Q4" s="5">
        <v>4.5</v>
      </c>
      <c r="R4" s="4">
        <f>P4*Q4</f>
        <v>18</v>
      </c>
      <c r="T4" s="6">
        <f>(P4/$B$14)*100</f>
        <v>8.3333333333333321</v>
      </c>
    </row>
    <row r="5" spans="1:20" x14ac:dyDescent="0.35">
      <c r="A5" s="4" t="s">
        <v>3</v>
      </c>
      <c r="B5" s="5">
        <v>0</v>
      </c>
      <c r="C5" s="5">
        <v>5</v>
      </c>
      <c r="D5" s="4">
        <f>B5*C5</f>
        <v>0</v>
      </c>
      <c r="F5" s="6">
        <f t="shared" ref="F5:F13" si="0">(B5/$B$14)*100</f>
        <v>0</v>
      </c>
      <c r="H5" s="4" t="s">
        <v>3</v>
      </c>
      <c r="I5" s="5">
        <v>0</v>
      </c>
      <c r="J5" s="5">
        <v>5</v>
      </c>
      <c r="K5" s="4">
        <f>I5*J5</f>
        <v>0</v>
      </c>
      <c r="M5" s="6">
        <f t="shared" ref="M5:M13" si="1">(I5/$B$14)*100</f>
        <v>0</v>
      </c>
      <c r="O5" s="4" t="s">
        <v>3</v>
      </c>
      <c r="P5" s="5">
        <v>0</v>
      </c>
      <c r="Q5" s="5">
        <v>5</v>
      </c>
      <c r="R5" s="4">
        <f>P5*Q5</f>
        <v>0</v>
      </c>
      <c r="T5" s="6">
        <f t="shared" ref="T5:T13" si="2">(P5/$B$14)*100</f>
        <v>0</v>
      </c>
    </row>
    <row r="6" spans="1:20" x14ac:dyDescent="0.35">
      <c r="A6" s="4" t="s">
        <v>4</v>
      </c>
      <c r="B6" s="5">
        <v>1</v>
      </c>
      <c r="C6" s="5">
        <v>5.5</v>
      </c>
      <c r="D6" s="4">
        <f t="shared" ref="D6:D13" si="3">B6*C6</f>
        <v>5.5</v>
      </c>
      <c r="F6" s="6">
        <f t="shared" si="0"/>
        <v>2.083333333333333</v>
      </c>
      <c r="H6" s="4" t="s">
        <v>4</v>
      </c>
      <c r="I6" s="5">
        <v>1</v>
      </c>
      <c r="J6" s="5">
        <v>5.5</v>
      </c>
      <c r="K6" s="4">
        <f t="shared" ref="K6:K13" si="4">I6*J6</f>
        <v>5.5</v>
      </c>
      <c r="M6" s="6">
        <f t="shared" si="1"/>
        <v>2.083333333333333</v>
      </c>
      <c r="O6" s="4" t="s">
        <v>4</v>
      </c>
      <c r="P6" s="5">
        <v>1</v>
      </c>
      <c r="Q6" s="5">
        <v>5.5</v>
      </c>
      <c r="R6" s="4">
        <f t="shared" ref="R6:R13" si="5">P6*Q6</f>
        <v>5.5</v>
      </c>
      <c r="T6" s="6">
        <f t="shared" si="2"/>
        <v>2.083333333333333</v>
      </c>
    </row>
    <row r="7" spans="1:20" x14ac:dyDescent="0.35">
      <c r="A7" s="4" t="s">
        <v>5</v>
      </c>
      <c r="B7" s="5">
        <v>9</v>
      </c>
      <c r="C7" s="5">
        <v>6</v>
      </c>
      <c r="D7" s="4">
        <f t="shared" si="3"/>
        <v>54</v>
      </c>
      <c r="F7" s="6">
        <f t="shared" si="0"/>
        <v>18.75</v>
      </c>
      <c r="H7" s="4" t="s">
        <v>5</v>
      </c>
      <c r="I7" s="5">
        <v>5</v>
      </c>
      <c r="J7" s="5">
        <v>6</v>
      </c>
      <c r="K7" s="4">
        <f t="shared" si="4"/>
        <v>30</v>
      </c>
      <c r="M7" s="6">
        <f t="shared" si="1"/>
        <v>10.416666666666668</v>
      </c>
      <c r="O7" s="4" t="s">
        <v>5</v>
      </c>
      <c r="P7" s="5">
        <v>5</v>
      </c>
      <c r="Q7" s="5">
        <v>6</v>
      </c>
      <c r="R7" s="4">
        <f t="shared" si="5"/>
        <v>30</v>
      </c>
      <c r="T7" s="6">
        <f t="shared" si="2"/>
        <v>10.416666666666668</v>
      </c>
    </row>
    <row r="8" spans="1:20" x14ac:dyDescent="0.35">
      <c r="A8" s="4" t="s">
        <v>6</v>
      </c>
      <c r="B8" s="5">
        <v>18</v>
      </c>
      <c r="C8" s="5">
        <v>6.5</v>
      </c>
      <c r="D8" s="4">
        <f t="shared" si="3"/>
        <v>117</v>
      </c>
      <c r="F8" s="6">
        <f t="shared" si="0"/>
        <v>37.5</v>
      </c>
      <c r="H8" s="4" t="s">
        <v>6</v>
      </c>
      <c r="I8" s="5">
        <v>21</v>
      </c>
      <c r="J8" s="5">
        <v>6.5</v>
      </c>
      <c r="K8" s="4">
        <f t="shared" si="4"/>
        <v>136.5</v>
      </c>
      <c r="M8" s="6">
        <f t="shared" si="1"/>
        <v>43.75</v>
      </c>
      <c r="O8" s="4" t="s">
        <v>6</v>
      </c>
      <c r="P8" s="5">
        <v>20</v>
      </c>
      <c r="Q8" s="5">
        <v>6.5</v>
      </c>
      <c r="R8" s="4">
        <f t="shared" si="5"/>
        <v>130</v>
      </c>
      <c r="T8" s="6">
        <f t="shared" si="2"/>
        <v>41.666666666666671</v>
      </c>
    </row>
    <row r="9" spans="1:20" x14ac:dyDescent="0.35">
      <c r="A9" s="4" t="s">
        <v>7</v>
      </c>
      <c r="B9" s="5">
        <v>10</v>
      </c>
      <c r="C9" s="5">
        <v>7</v>
      </c>
      <c r="D9" s="4">
        <f t="shared" si="3"/>
        <v>70</v>
      </c>
      <c r="F9" s="6">
        <f t="shared" si="0"/>
        <v>20.833333333333336</v>
      </c>
      <c r="H9" s="4" t="s">
        <v>7</v>
      </c>
      <c r="I9" s="5">
        <v>10</v>
      </c>
      <c r="J9" s="5">
        <v>7</v>
      </c>
      <c r="K9" s="4">
        <f t="shared" si="4"/>
        <v>70</v>
      </c>
      <c r="M9" s="6">
        <f t="shared" si="1"/>
        <v>20.833333333333336</v>
      </c>
      <c r="O9" s="4" t="s">
        <v>7</v>
      </c>
      <c r="P9" s="5">
        <v>10</v>
      </c>
      <c r="Q9" s="5">
        <v>7</v>
      </c>
      <c r="R9" s="4">
        <f t="shared" si="5"/>
        <v>70</v>
      </c>
      <c r="T9" s="6">
        <f t="shared" si="2"/>
        <v>20.833333333333336</v>
      </c>
    </row>
    <row r="10" spans="1:20" x14ac:dyDescent="0.35">
      <c r="A10" s="4" t="s">
        <v>8</v>
      </c>
      <c r="B10" s="5">
        <v>6</v>
      </c>
      <c r="C10" s="5">
        <v>7.5</v>
      </c>
      <c r="D10" s="4">
        <f t="shared" si="3"/>
        <v>45</v>
      </c>
      <c r="F10" s="6">
        <f t="shared" si="0"/>
        <v>12.5</v>
      </c>
      <c r="H10" s="4" t="s">
        <v>8</v>
      </c>
      <c r="I10" s="5">
        <v>7</v>
      </c>
      <c r="J10" s="5">
        <v>7.5</v>
      </c>
      <c r="K10" s="4">
        <f t="shared" si="4"/>
        <v>52.5</v>
      </c>
      <c r="M10" s="6">
        <f t="shared" si="1"/>
        <v>14.583333333333334</v>
      </c>
      <c r="O10" s="4" t="s">
        <v>8</v>
      </c>
      <c r="P10" s="5">
        <v>7</v>
      </c>
      <c r="Q10" s="5">
        <v>7.5</v>
      </c>
      <c r="R10" s="4">
        <f t="shared" si="5"/>
        <v>52.5</v>
      </c>
      <c r="T10" s="6">
        <f t="shared" si="2"/>
        <v>14.583333333333334</v>
      </c>
    </row>
    <row r="11" spans="1:20" x14ac:dyDescent="0.35">
      <c r="A11" s="4" t="s">
        <v>9</v>
      </c>
      <c r="B11" s="5">
        <v>1</v>
      </c>
      <c r="C11" s="5">
        <v>8</v>
      </c>
      <c r="D11" s="4">
        <f t="shared" si="3"/>
        <v>8</v>
      </c>
      <c r="F11" s="6">
        <f t="shared" si="0"/>
        <v>2.083333333333333</v>
      </c>
      <c r="H11" s="4" t="s">
        <v>9</v>
      </c>
      <c r="I11" s="5">
        <v>1</v>
      </c>
      <c r="J11" s="5">
        <v>8</v>
      </c>
      <c r="K11" s="4">
        <f t="shared" si="4"/>
        <v>8</v>
      </c>
      <c r="M11" s="6">
        <f t="shared" si="1"/>
        <v>2.083333333333333</v>
      </c>
      <c r="O11" s="4" t="s">
        <v>9</v>
      </c>
      <c r="P11" s="5">
        <v>1</v>
      </c>
      <c r="Q11" s="5">
        <v>8</v>
      </c>
      <c r="R11" s="4">
        <f t="shared" si="5"/>
        <v>8</v>
      </c>
      <c r="T11" s="6">
        <f t="shared" si="2"/>
        <v>2.083333333333333</v>
      </c>
    </row>
    <row r="12" spans="1:20" x14ac:dyDescent="0.35">
      <c r="A12" s="4" t="s">
        <v>10</v>
      </c>
      <c r="B12" s="5">
        <v>0</v>
      </c>
      <c r="C12" s="5">
        <v>9</v>
      </c>
      <c r="D12" s="4">
        <f t="shared" si="3"/>
        <v>0</v>
      </c>
      <c r="F12" s="6">
        <f t="shared" si="0"/>
        <v>0</v>
      </c>
      <c r="H12" s="4" t="s">
        <v>10</v>
      </c>
      <c r="I12" s="5">
        <v>0</v>
      </c>
      <c r="J12" s="5">
        <v>9</v>
      </c>
      <c r="K12" s="4">
        <f t="shared" si="4"/>
        <v>0</v>
      </c>
      <c r="M12" s="6">
        <f t="shared" si="1"/>
        <v>0</v>
      </c>
      <c r="O12" s="4" t="s">
        <v>10</v>
      </c>
      <c r="P12" s="5">
        <v>0</v>
      </c>
      <c r="Q12" s="5">
        <v>9</v>
      </c>
      <c r="R12" s="4">
        <f t="shared" si="5"/>
        <v>0</v>
      </c>
      <c r="T12" s="6">
        <f t="shared" si="2"/>
        <v>0</v>
      </c>
    </row>
    <row r="13" spans="1:20" x14ac:dyDescent="0.35">
      <c r="A13" s="4" t="s">
        <v>11</v>
      </c>
      <c r="B13" s="5">
        <v>0</v>
      </c>
      <c r="C13" s="5">
        <v>10</v>
      </c>
      <c r="D13" s="4">
        <f t="shared" si="3"/>
        <v>0</v>
      </c>
      <c r="F13" s="6">
        <f t="shared" si="0"/>
        <v>0</v>
      </c>
      <c r="H13" s="4" t="s">
        <v>11</v>
      </c>
      <c r="I13" s="5">
        <v>0</v>
      </c>
      <c r="J13" s="5">
        <v>10</v>
      </c>
      <c r="K13" s="4">
        <f t="shared" si="4"/>
        <v>0</v>
      </c>
      <c r="M13" s="6">
        <f t="shared" si="1"/>
        <v>0</v>
      </c>
      <c r="O13" s="4" t="s">
        <v>11</v>
      </c>
      <c r="P13" s="5">
        <v>0</v>
      </c>
      <c r="Q13" s="5">
        <v>10</v>
      </c>
      <c r="R13" s="4">
        <f t="shared" si="5"/>
        <v>0</v>
      </c>
      <c r="T13" s="6">
        <f t="shared" si="2"/>
        <v>0</v>
      </c>
    </row>
    <row r="14" spans="1:20" x14ac:dyDescent="0.35">
      <c r="B14" s="7">
        <f>SUM(B4:B13)</f>
        <v>48</v>
      </c>
      <c r="C14" s="8" t="s">
        <v>12</v>
      </c>
      <c r="D14" s="9">
        <f>SUM(D4:D13)/SUM(B4:B13)</f>
        <v>6.520833333333333</v>
      </c>
      <c r="E14" s="10"/>
      <c r="F14" s="11">
        <f>SUM(F4:F13)</f>
        <v>99.999999999999986</v>
      </c>
      <c r="I14" s="7">
        <f>SUM(I4:I13)</f>
        <v>48</v>
      </c>
      <c r="J14" s="8" t="s">
        <v>12</v>
      </c>
      <c r="K14" s="9">
        <f>SUM(K4:K13)/SUM(I4:I13)</f>
        <v>6.583333333333333</v>
      </c>
      <c r="L14" s="10"/>
      <c r="M14" s="11">
        <f>SUM(M4:M13)</f>
        <v>100</v>
      </c>
      <c r="P14" s="7">
        <f>SUM(P4:P13)</f>
        <v>48</v>
      </c>
      <c r="Q14" s="8" t="s">
        <v>12</v>
      </c>
      <c r="R14" s="9">
        <f>SUM(R4:R13)/SUM(P4:P13)</f>
        <v>6.541666666666667</v>
      </c>
      <c r="S14" s="10"/>
      <c r="T14" s="11">
        <f>SUM(T4:T13)</f>
        <v>100</v>
      </c>
    </row>
    <row r="18" spans="2:2" x14ac:dyDescent="0.35">
      <c r="B18" s="13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 Ranjan</dc:creator>
  <cp:lastModifiedBy>PRASHANT KAYANGUDE</cp:lastModifiedBy>
  <dcterms:created xsi:type="dcterms:W3CDTF">2019-04-03T07:46:51Z</dcterms:created>
  <dcterms:modified xsi:type="dcterms:W3CDTF">2026-08-12T08:13:24Z</dcterms:modified>
</cp:coreProperties>
</file>